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bo-ra\Desktop\Courses\Spring 2026\AI-Sustainable\Project 1\"/>
    </mc:Choice>
  </mc:AlternateContent>
  <xr:revisionPtr revIDLastSave="0" documentId="13_ncr:1_{D045C925-FFBA-4126-B14E-D94AAD235C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</calcChain>
</file>

<file path=xl/sharedStrings.xml><?xml version="1.0" encoding="utf-8"?>
<sst xmlns="http://schemas.openxmlformats.org/spreadsheetml/2006/main" count="406" uniqueCount="406">
  <si>
    <t>FactSet Universal Screening</t>
  </si>
  <si>
    <t>BMX378</t>
  </si>
  <si>
    <t>4DMedical Ltd.</t>
  </si>
  <si>
    <t>BWSRTS</t>
  </si>
  <si>
    <t>a2 Milk Company Limited</t>
  </si>
  <si>
    <t>BSS7GP</t>
  </si>
  <si>
    <t>AGL Energy Limited</t>
  </si>
  <si>
    <t>BSY2LN</t>
  </si>
  <si>
    <t>Alcoa Corporation shs Chess Depository Interests Repr 1 Sh</t>
  </si>
  <si>
    <t>601402</t>
  </si>
  <si>
    <t>Alkane Resources Ltd</t>
  </si>
  <si>
    <t>B86SZR</t>
  </si>
  <si>
    <t>ALS Ltd.</t>
  </si>
  <si>
    <t>606660</t>
  </si>
  <si>
    <t>Amcor PLC Shs Chess Depository Interests</t>
  </si>
  <si>
    <t>670995</t>
  </si>
  <si>
    <t>AMP Limited</t>
  </si>
  <si>
    <t>BM9120</t>
  </si>
  <si>
    <t>Ampol Limited</t>
  </si>
  <si>
    <t>628661</t>
  </si>
  <si>
    <t>Ansell Limited</t>
  </si>
  <si>
    <t>606558</t>
  </si>
  <si>
    <t>ANZ Group Holdings Limited</t>
  </si>
  <si>
    <t>624730</t>
  </si>
  <si>
    <t>APA Group</t>
  </si>
  <si>
    <t>BWV03W</t>
  </si>
  <si>
    <t>ARB Corporation Limited</t>
  </si>
  <si>
    <t>B99K26</t>
  </si>
  <si>
    <t>Arena REIT</t>
  </si>
  <si>
    <t>625398</t>
  </si>
  <si>
    <t>Aristocrat Leisure Limited</t>
  </si>
  <si>
    <t>612922</t>
  </si>
  <si>
    <t>ASX Limited</t>
  </si>
  <si>
    <t>BZ03TZ</t>
  </si>
  <si>
    <t>Atlas Arteria</t>
  </si>
  <si>
    <t>B0MBNC</t>
  </si>
  <si>
    <t>AUB Group Limited</t>
  </si>
  <si>
    <t>BLRZSS</t>
  </si>
  <si>
    <t>Auckland International Airport Limited</t>
  </si>
  <si>
    <t>B87CVM</t>
  </si>
  <si>
    <t>Aurizon Holdings Ltd.</t>
  </si>
  <si>
    <t>BM8HZC</t>
  </si>
  <si>
    <t>Aussie Broadband Ltd.</t>
  </si>
  <si>
    <t>613716</t>
  </si>
  <si>
    <t>Austal Limited</t>
  </si>
  <si>
    <t>607624</t>
  </si>
  <si>
    <t>Bank of Queensland Limited</t>
  </si>
  <si>
    <t>608820</t>
  </si>
  <si>
    <t>Beach Energy Limited</t>
  </si>
  <si>
    <t>B56CQJ</t>
  </si>
  <si>
    <t>Bega Cheese Limited</t>
  </si>
  <si>
    <t>BFZ31P</t>
  </si>
  <si>
    <t>Bellevue Gold Limited</t>
  </si>
  <si>
    <t>609128</t>
  </si>
  <si>
    <t>Bendigo &amp; Adelaide Bank Ltd.</t>
  </si>
  <si>
    <t>614469</t>
  </si>
  <si>
    <t>BHP Group Ltd</t>
  </si>
  <si>
    <t>BQD364</t>
  </si>
  <si>
    <t>Block, Inc. Shs Chess Depository Interests Repr 1 Sh</t>
  </si>
  <si>
    <t>653323</t>
  </si>
  <si>
    <t>Bluescope Steel Limited</t>
  </si>
  <si>
    <t>B1FJ0C</t>
  </si>
  <si>
    <t>Brambles Limited</t>
  </si>
  <si>
    <t>615870</t>
  </si>
  <si>
    <t>Breville Group Limited</t>
  </si>
  <si>
    <t>612745</t>
  </si>
  <si>
    <t>BWP Trust</t>
  </si>
  <si>
    <t>BDD98W</t>
  </si>
  <si>
    <t>Capricorn Metals Ltd</t>
  </si>
  <si>
    <t>BQXH1K</t>
  </si>
  <si>
    <t>Capstone Copper Corp. Shs Chess Depository Interests Repr 1 Sh</t>
  </si>
  <si>
    <t>BW0BGZ</t>
  </si>
  <si>
    <t>CAR Group Limited</t>
  </si>
  <si>
    <t>B17P5V</t>
  </si>
  <si>
    <t>Catalyst Metals Limited</t>
  </si>
  <si>
    <t>651874</t>
  </si>
  <si>
    <t>Centuria Capital Group</t>
  </si>
  <si>
    <t>BD31FD</t>
  </si>
  <si>
    <t>Centuria Industrial REIT</t>
  </si>
  <si>
    <t>672630</t>
  </si>
  <si>
    <t>Challenger Limited</t>
  </si>
  <si>
    <t>BLD1SB</t>
  </si>
  <si>
    <t>Champion Iron Ltd.</t>
  </si>
  <si>
    <t>B15F6S</t>
  </si>
  <si>
    <t>Charter Hall Group</t>
  </si>
  <si>
    <t>BDB46J</t>
  </si>
  <si>
    <t>Charter Hall Long WALE REIT</t>
  </si>
  <si>
    <t>622559</t>
  </si>
  <si>
    <t>Charter Hall Retail REIT</t>
  </si>
  <si>
    <t>B54F6S</t>
  </si>
  <si>
    <t>Chorus Limited</t>
  </si>
  <si>
    <t>BYQ8KW</t>
  </si>
  <si>
    <t>Cleanaway Waste Management Ltd.</t>
  </si>
  <si>
    <t>621179</t>
  </si>
  <si>
    <t>Cochlear Limited</t>
  </si>
  <si>
    <t>671261</t>
  </si>
  <si>
    <t>Codan Limited</t>
  </si>
  <si>
    <t>BYWR0T</t>
  </si>
  <si>
    <t>Coles Group Ltd.</t>
  </si>
  <si>
    <t>621503</t>
  </si>
  <si>
    <t>Commonwealth Bank of Australia</t>
  </si>
  <si>
    <t>618041</t>
  </si>
  <si>
    <t>Computershare Limited</t>
  </si>
  <si>
    <t>618549</t>
  </si>
  <si>
    <t>CSL Limited</t>
  </si>
  <si>
    <t>BNM6Z5</t>
  </si>
  <si>
    <t>Dalrymple Bay Infrastructure Ltd.</t>
  </si>
  <si>
    <t>609301</t>
  </si>
  <si>
    <t>Data#3 Limited.</t>
  </si>
  <si>
    <t>648027</t>
  </si>
  <si>
    <t>Deep Yellow Limited</t>
  </si>
  <si>
    <t>BJP5T0</t>
  </si>
  <si>
    <t>Deterra Royalties Ltd</t>
  </si>
  <si>
    <t>BNVQGB</t>
  </si>
  <si>
    <t>Develop Global Limited</t>
  </si>
  <si>
    <t>B033YN</t>
  </si>
  <si>
    <t>Dexus</t>
  </si>
  <si>
    <t>B07SFG</t>
  </si>
  <si>
    <t>Domino's Pizza Enterprises Limited</t>
  </si>
  <si>
    <t>646557</t>
  </si>
  <si>
    <t>Downer EDI Limited</t>
  </si>
  <si>
    <t>BYV1JW</t>
  </si>
  <si>
    <t>DroneShield Limited</t>
  </si>
  <si>
    <t>BVBH52</t>
  </si>
  <si>
    <t>Dyno Nobel Limited</t>
  </si>
  <si>
    <t>629620</t>
  </si>
  <si>
    <t>Eagers Automotive Limited</t>
  </si>
  <si>
    <t>635785</t>
  </si>
  <si>
    <t>Elders Limited</t>
  </si>
  <si>
    <t>629399</t>
  </si>
  <si>
    <t>Electro Optic Systems Holdings Limited</t>
  </si>
  <si>
    <t>BVBM1M</t>
  </si>
  <si>
    <t>Elevra Lithium Limited</t>
  </si>
  <si>
    <t>610738</t>
  </si>
  <si>
    <t>Emerald Resources NL</t>
  </si>
  <si>
    <t>BNVS14</t>
  </si>
  <si>
    <t>Endeavour Group Ltd</t>
  </si>
  <si>
    <t>B3X0F9</t>
  </si>
  <si>
    <t>Evolution Mining Limited</t>
  </si>
  <si>
    <t>BDG0N4</t>
  </si>
  <si>
    <t>EVT Limited</t>
  </si>
  <si>
    <t>BPDXXB</t>
  </si>
  <si>
    <t>FireFly Metals Ltd</t>
  </si>
  <si>
    <t>642396</t>
  </si>
  <si>
    <t>Fisher &amp; Paykel Healthcare Corporation Limited</t>
  </si>
  <si>
    <t>634161</t>
  </si>
  <si>
    <t>Fletcher Building Limited</t>
  </si>
  <si>
    <t>635214</t>
  </si>
  <si>
    <t>Flight Centre Travel Group Limited</t>
  </si>
  <si>
    <t>608625</t>
  </si>
  <si>
    <t>Fortescue Ltd</t>
  </si>
  <si>
    <t>BF42CQ</t>
  </si>
  <si>
    <t>Generation Development Group Limited</t>
  </si>
  <si>
    <t>B23G0X</t>
  </si>
  <si>
    <t>Genesis Minerals Limited</t>
  </si>
  <si>
    <t>B03FYZ</t>
  </si>
  <si>
    <t>Goodman Group</t>
  </si>
  <si>
    <t>636586</t>
  </si>
  <si>
    <t>GPT Group</t>
  </si>
  <si>
    <t>BN469H</t>
  </si>
  <si>
    <t>GQG Partners, Inc. Shs Chess Depository Interests Repr 1 Sh</t>
  </si>
  <si>
    <t>610233</t>
  </si>
  <si>
    <t>Graincorp Limited Class A</t>
  </si>
  <si>
    <t>BTXLW4</t>
  </si>
  <si>
    <t>Greatland Resources Limited</t>
  </si>
  <si>
    <t>617350</t>
  </si>
  <si>
    <t>Harvey Norman Holdings Ltd</t>
  </si>
  <si>
    <t>BP5HL0</t>
  </si>
  <si>
    <t>Helia Group Limited</t>
  </si>
  <si>
    <t>BNC0NF</t>
  </si>
  <si>
    <t>HomeCo Daily Needs REIT</t>
  </si>
  <si>
    <t>BD4T5X</t>
  </si>
  <si>
    <t>HUB24 Limited</t>
  </si>
  <si>
    <t>643956</t>
  </si>
  <si>
    <t>IGO Limited</t>
  </si>
  <si>
    <t>695757</t>
  </si>
  <si>
    <t>Iluka Resources Limited</t>
  </si>
  <si>
    <t>646215</t>
  </si>
  <si>
    <t>Imdex Ltd</t>
  </si>
  <si>
    <t>B6923R</t>
  </si>
  <si>
    <t>Infratil Limited</t>
  </si>
  <si>
    <t>B84GSC</t>
  </si>
  <si>
    <t>Ingenia Communities Group</t>
  </si>
  <si>
    <t>627102</t>
  </si>
  <si>
    <t>Insurance Australia Group Ltd</t>
  </si>
  <si>
    <t>BMCB2H</t>
  </si>
  <si>
    <t>Iperionx Ltd.</t>
  </si>
  <si>
    <t>629749</t>
  </si>
  <si>
    <t>IRESS Limited</t>
  </si>
  <si>
    <t>B60QWJ</t>
  </si>
  <si>
    <t>James Hardie Industries PLC Chess Units of Foreign Securities</t>
  </si>
  <si>
    <t>670262</t>
  </si>
  <si>
    <t>JB Hi-Fi Limited</t>
  </si>
  <si>
    <t>BMW7F4</t>
  </si>
  <si>
    <t>Judo Capital Holdings Limited</t>
  </si>
  <si>
    <t>B00SV0</t>
  </si>
  <si>
    <t>Karoon Energy Ltd</t>
  </si>
  <si>
    <t>649273</t>
  </si>
  <si>
    <t>Kingsgate Consolidated Limited</t>
  </si>
  <si>
    <t>651200</t>
  </si>
  <si>
    <t>Lendlease Group</t>
  </si>
  <si>
    <t>BJMXQ6</t>
  </si>
  <si>
    <t>Life360, Inc. Shs Chess Depository Interests Repr 3 Sh</t>
  </si>
  <si>
    <t>BMXNX1</t>
  </si>
  <si>
    <t>Light &amp; Wonder, Inc. Shs Chess Depository Interests Repr 1 Sh</t>
  </si>
  <si>
    <t>B1J89V</t>
  </si>
  <si>
    <t>Liontown Limited</t>
  </si>
  <si>
    <t>BNRQW7</t>
  </si>
  <si>
    <t>Lottery Corporation Limited</t>
  </si>
  <si>
    <t>BT9PVP</t>
  </si>
  <si>
    <t>Lovisa Holdings Ltd.</t>
  </si>
  <si>
    <t>612117</t>
  </si>
  <si>
    <t>Lynas Rare Earths Limited</t>
  </si>
  <si>
    <t>B28YTC</t>
  </si>
  <si>
    <t>Macquarie Group, Ltd.</t>
  </si>
  <si>
    <t>B015YX</t>
  </si>
  <si>
    <t>Magellan Financial Group Ltd</t>
  </si>
  <si>
    <t>BRTNNQ</t>
  </si>
  <si>
    <t>Medibank Private Ltd.</t>
  </si>
  <si>
    <t>BZ5ZWZ</t>
  </si>
  <si>
    <t>Megaport Ltd.</t>
  </si>
  <si>
    <t>B04SF4</t>
  </si>
  <si>
    <t>Mesoblast Limited</t>
  </si>
  <si>
    <t>B0744W</t>
  </si>
  <si>
    <t>Metcash Limited</t>
  </si>
  <si>
    <t>B17ZL5</t>
  </si>
  <si>
    <t>Mineral Resources Limited</t>
  </si>
  <si>
    <t>BMT8S7</t>
  </si>
  <si>
    <t>Minerals 260 Limited</t>
  </si>
  <si>
    <t>616197</t>
  </si>
  <si>
    <t>Mirvac Group</t>
  </si>
  <si>
    <t>660047</t>
  </si>
  <si>
    <t>Monadelphous Group Limited</t>
  </si>
  <si>
    <t>662460</t>
  </si>
  <si>
    <t>National Australia Bank Limited</t>
  </si>
  <si>
    <t>BF52PL</t>
  </si>
  <si>
    <t>Netwealth Group Ltd.</t>
  </si>
  <si>
    <t>B04LVF</t>
  </si>
  <si>
    <t>Neuren Pharmaceuticals Limited</t>
  </si>
  <si>
    <t>668196</t>
  </si>
  <si>
    <t>New Hope Corporation Limited</t>
  </si>
  <si>
    <t>BRDVMB</t>
  </si>
  <si>
    <t>Newmont Corporation Registered Chess Depositary Interests Repr 1 Sh</t>
  </si>
  <si>
    <t>BD7SZP</t>
  </si>
  <si>
    <t>News Corporation Shs B Chess Depository Interests repr 1 Sh</t>
  </si>
  <si>
    <t>BLR8K3</t>
  </si>
  <si>
    <t>NexGen Energy Ltd. Shs Chess Depository Interests repr 1 shs</t>
  </si>
  <si>
    <t>B5LMKP</t>
  </si>
  <si>
    <t>Nextdc Limited</t>
  </si>
  <si>
    <t>B28ZM6</t>
  </si>
  <si>
    <t>NIB Holdings Ltd</t>
  </si>
  <si>
    <t>B00VZV</t>
  </si>
  <si>
    <t>Nick Scali Limited</t>
  </si>
  <si>
    <t>BZ7NDP</t>
  </si>
  <si>
    <t>Nickel Industries Limited</t>
  </si>
  <si>
    <t>BGQV18</t>
  </si>
  <si>
    <t>Nine Entertainment Co. Holdings Limited</t>
  </si>
  <si>
    <t>671745</t>
  </si>
  <si>
    <t>Northern Star Resources Ltd</t>
  </si>
  <si>
    <t>B23XW7</t>
  </si>
  <si>
    <t>NRW Holdings Limited</t>
  </si>
  <si>
    <t>BKDX54</t>
  </si>
  <si>
    <t>Ora Banda Mining Ltd.</t>
  </si>
  <si>
    <t>645800</t>
  </si>
  <si>
    <t>Orica Limited</t>
  </si>
  <si>
    <t>621486</t>
  </si>
  <si>
    <t>Origin Energy Limited</t>
  </si>
  <si>
    <t>BH4TCW</t>
  </si>
  <si>
    <t>Orora Limited</t>
  </si>
  <si>
    <t>666846</t>
  </si>
  <si>
    <t>Paladin Energy Ltd</t>
  </si>
  <si>
    <t>621028</t>
  </si>
  <si>
    <t>Pantoro Gold Limited</t>
  </si>
  <si>
    <t>B3N05H</t>
  </si>
  <si>
    <t>PDI Gold Limited</t>
  </si>
  <si>
    <t>BKRKNV</t>
  </si>
  <si>
    <t>Perenti Limited</t>
  </si>
  <si>
    <t>668239</t>
  </si>
  <si>
    <t>Perpetual Limited</t>
  </si>
  <si>
    <t>B02FBC</t>
  </si>
  <si>
    <t>Perseus Mining Limited</t>
  </si>
  <si>
    <t>BMD0WJ</t>
  </si>
  <si>
    <t>PEXA Group Limited</t>
  </si>
  <si>
    <t>BD0F7H</t>
  </si>
  <si>
    <t>Pinnacle Investment Management Group Limited</t>
  </si>
  <si>
    <t>B2368L</t>
  </si>
  <si>
    <t>PLS Group Limited</t>
  </si>
  <si>
    <t>669978</t>
  </si>
  <si>
    <t>Premier Investments Limited</t>
  </si>
  <si>
    <t>629278</t>
  </si>
  <si>
    <t>Pro Medicus, Ltd.</t>
  </si>
  <si>
    <t>671034</t>
  </si>
  <si>
    <t>Qantas Airways Limited</t>
  </si>
  <si>
    <t>671574</t>
  </si>
  <si>
    <t>QBE Insurance Group Limited</t>
  </si>
  <si>
    <t>658687</t>
  </si>
  <si>
    <t>Ramelius Resources Limited</t>
  </si>
  <si>
    <t>604199</t>
  </si>
  <si>
    <t>Ramsay Health Care Limited</t>
  </si>
  <si>
    <t>619857</t>
  </si>
  <si>
    <t>REA Group Ltd</t>
  </si>
  <si>
    <t>672880</t>
  </si>
  <si>
    <t>Reece Limited</t>
  </si>
  <si>
    <t>BPBMY6</t>
  </si>
  <si>
    <t>Region Group</t>
  </si>
  <si>
    <t>647654</t>
  </si>
  <si>
    <t>Regis Resources Limited</t>
  </si>
  <si>
    <t>BD1DM7</t>
  </si>
  <si>
    <t>Reliance Worldwide Corp. Ltd.</t>
  </si>
  <si>
    <t>622166</t>
  </si>
  <si>
    <t>ResMed Inc. CHESS Depositary Interests on a ratio of 10 CDIs per ord.sh</t>
  </si>
  <si>
    <t>641063</t>
  </si>
  <si>
    <t>Resolute Mining Limited</t>
  </si>
  <si>
    <t>622010</t>
  </si>
  <si>
    <t>Rio Tinto Limited</t>
  </si>
  <si>
    <t>673973</t>
  </si>
  <si>
    <t>Sandfire Resources Ltd</t>
  </si>
  <si>
    <t>677670</t>
  </si>
  <si>
    <t>Santos Limited</t>
  </si>
  <si>
    <t>BLZH0Z</t>
  </si>
  <si>
    <t>Scentre Group</t>
  </si>
  <si>
    <t>B0767Y</t>
  </si>
  <si>
    <t>Seek Limited</t>
  </si>
  <si>
    <t>BR858V</t>
  </si>
  <si>
    <t>SGH Limited</t>
  </si>
  <si>
    <t>BF13K0</t>
  </si>
  <si>
    <t>Sigma Healthcare Ltd</t>
  </si>
  <si>
    <t>611173</t>
  </si>
  <si>
    <t>Silex Systems Limited</t>
  </si>
  <si>
    <t>B0LCW7</t>
  </si>
  <si>
    <t>Sims Ltd.</t>
  </si>
  <si>
    <t>682112</t>
  </si>
  <si>
    <t>Sonic Healthcare Limited</t>
  </si>
  <si>
    <t>BWSW5D</t>
  </si>
  <si>
    <t>South32 Ltd.</t>
  </si>
  <si>
    <t>BFMZB8</t>
  </si>
  <si>
    <t>SRG Global Limited</t>
  </si>
  <si>
    <t>BCT5FD</t>
  </si>
  <si>
    <t>Steadfast Group Limited</t>
  </si>
  <si>
    <t>685085</t>
  </si>
  <si>
    <t>Stockland</t>
  </si>
  <si>
    <t>658508</t>
  </si>
  <si>
    <t>Suncorp Group Limited</t>
  </si>
  <si>
    <t>B01C7R</t>
  </si>
  <si>
    <t>Super Retail Group Limited</t>
  </si>
  <si>
    <t>BYPC6V</t>
  </si>
  <si>
    <t>Superloop Ltd.</t>
  </si>
  <si>
    <t>687326</t>
  </si>
  <si>
    <t>Tabcorp Holdings Limited</t>
  </si>
  <si>
    <t>630241</t>
  </si>
  <si>
    <t>Technology One Limited</t>
  </si>
  <si>
    <t>BF7M09</t>
  </si>
  <si>
    <t>Telix Pharmaceuticals Limited</t>
  </si>
  <si>
    <t>608728</t>
  </si>
  <si>
    <t>Telstra Group Limited</t>
  </si>
  <si>
    <t>BMB225</t>
  </si>
  <si>
    <t>TPG Telecom Limited</t>
  </si>
  <si>
    <t>620088</t>
  </si>
  <si>
    <t>Transurban Group Ltd.</t>
  </si>
  <si>
    <t>B61JC6</t>
  </si>
  <si>
    <t>Treasury Wine Estates Limited</t>
  </si>
  <si>
    <t>BM94P7</t>
  </si>
  <si>
    <t>Tuas Ltd.</t>
  </si>
  <si>
    <t>BSML1B</t>
  </si>
  <si>
    <t>Vault Minerals Limited</t>
  </si>
  <si>
    <t>BNV08F</t>
  </si>
  <si>
    <t>Ventia Services Group Limited</t>
  </si>
  <si>
    <t>BY7QXS</t>
  </si>
  <si>
    <t>Vicinity Centres</t>
  </si>
  <si>
    <t>BYQM3N</t>
  </si>
  <si>
    <t>Viva Energy Group Ltd.</t>
  </si>
  <si>
    <t>BKYBH6</t>
  </si>
  <si>
    <t>Vulcan Energy Resources Ltd.</t>
  </si>
  <si>
    <t>682180</t>
  </si>
  <si>
    <t>Washington H. Soul Pattinson and Company Limited</t>
  </si>
  <si>
    <t>BLBQ28</t>
  </si>
  <si>
    <t>Waypoint REIT Ltd.</t>
  </si>
  <si>
    <t>694883</t>
  </si>
  <si>
    <t>Wesfarmers Limited</t>
  </si>
  <si>
    <t>B4KBBN</t>
  </si>
  <si>
    <t>West African Resources Ltd</t>
  </si>
  <si>
    <t>BYVQ67</t>
  </si>
  <si>
    <t>Westgold Resources Ltd</t>
  </si>
  <si>
    <t>607614</t>
  </si>
  <si>
    <t>Westpac Banking Corporation</t>
  </si>
  <si>
    <t>B1XQXC</t>
  </si>
  <si>
    <t>Whitehaven Coal Limited</t>
  </si>
  <si>
    <t>BZ8GX8</t>
  </si>
  <si>
    <t>Wisetech Global Ltd.</t>
  </si>
  <si>
    <t>BMGT16</t>
  </si>
  <si>
    <t>Woodside Energy Group Ltd</t>
  </si>
  <si>
    <t>698123</t>
  </si>
  <si>
    <t>Woolworths Group Ltd</t>
  </si>
  <si>
    <t>656247</t>
  </si>
  <si>
    <t>Worley Limited</t>
  </si>
  <si>
    <t>B8P4LP</t>
  </si>
  <si>
    <t>Xero Limited</t>
  </si>
  <si>
    <t>B84LB4</t>
  </si>
  <si>
    <t>Yancoal Australia Ltd.</t>
  </si>
  <si>
    <t>BPP1Y7</t>
  </si>
  <si>
    <t>Zip Co Ltd.</t>
  </si>
  <si>
    <t>Symbol</t>
  </si>
  <si>
    <t>Name</t>
  </si>
  <si>
    <t>Number Employd</t>
  </si>
  <si>
    <t>Net Sales AUD $M</t>
  </si>
  <si>
    <t>Gross Assets
AUD $M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</si>
</sst>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FFB8-742F-4966-834D-6C3E23D1438E}">
  <sheetPr>
    <outlinePr summaryBelow="0" summaryRight="0"/>
    <pageSetUpPr fitToPage="1"/>
  </sheetPr>
  <dimension ref="A1:F206"/>
  <sheetViews>
    <sheetView tabSelected="1" workbookViewId="0">
      <pane xSplit="2" ySplit="5" topLeftCell="C151" activePane="bottomRight" state="frozen"/>
      <selection pane="topRight" activeCell="C1" sqref="C1"/>
      <selection pane="bottomLeft" activeCell="A6" sqref="A6"/>
      <selection pane="bottomRight" activeCell="E5" sqref="E5"/>
    </sheetView>
  </sheetViews>
  <sheetFormatPr defaultColWidth="9.109375" defaultRowHeight="15" customHeight="1" x14ac:dyDescent="0.25"/>
  <cols>
    <col min="1" max="4" width="14.33203125" customWidth="1"/>
    <col min="5" max="5" width="28.88671875" customWidth="1"/>
  </cols>
  <sheetData>
    <row r="1" spans="1:6" ht="15" customHeight="1" x14ac:dyDescent="0.25">
      <c r="A1" t="s">
        <v>0</v>
      </c>
    </row>
    <row r="5" spans="1:6" ht="22.8" x14ac:dyDescent="0.25">
      <c r="A5" s="3" t="s">
        <v>401</v>
      </c>
      <c r="B5" s="3" t="s">
        <v>402</v>
      </c>
      <c r="C5" s="4" t="s">
        <v>404</v>
      </c>
      <c r="D5" s="4" t="s">
        <v>405</v>
      </c>
      <c r="E5" s="4" t="s">
        <v>403</v>
      </c>
    </row>
    <row r="6" spans="1:6" ht="13.2" hidden="1" x14ac:dyDescent="0.25">
      <c r="A6" s="1"/>
      <c r="B6" s="1"/>
      <c r="C6" s="2"/>
      <c r="D6" s="2"/>
      <c r="E6" s="2"/>
    </row>
    <row r="7" spans="1:6" ht="15" customHeight="1" x14ac:dyDescent="0.25">
      <c r="A7" s="1" t="s">
        <v>1</v>
      </c>
      <c r="B7" s="1" t="s">
        <v>2</v>
      </c>
      <c r="C7" s="2">
        <v>5.8534009999999999</v>
      </c>
      <c r="D7" s="2">
        <v>11.064873</v>
      </c>
      <c r="E7" s="2">
        <v>124</v>
      </c>
      <c r="F7" t="b">
        <f>(C7&gt;"500")+(D7&gt;"1000")+(E7&gt;"500")&gt;=2</f>
        <v>0</v>
      </c>
    </row>
    <row r="8" spans="1:6" ht="15" customHeight="1" x14ac:dyDescent="0.25">
      <c r="A8" s="1" t="s">
        <v>3</v>
      </c>
      <c r="B8" s="1" t="s">
        <v>4</v>
      </c>
      <c r="C8" s="2">
        <v>1601.13222511391</v>
      </c>
      <c r="D8" s="2">
        <v>291.14316227969698</v>
      </c>
      <c r="E8" s="2">
        <v>511</v>
      </c>
    </row>
    <row r="9" spans="1:6" ht="15" customHeight="1" x14ac:dyDescent="0.25">
      <c r="A9" s="1" t="s">
        <v>5</v>
      </c>
      <c r="B9" s="1" t="s">
        <v>6</v>
      </c>
      <c r="C9" s="2">
        <v>14339</v>
      </c>
      <c r="D9" s="2">
        <v>13032</v>
      </c>
      <c r="E9" s="2">
        <v>3011</v>
      </c>
    </row>
    <row r="10" spans="1:6" ht="15" customHeight="1" x14ac:dyDescent="0.25">
      <c r="A10" s="1" t="s">
        <v>7</v>
      </c>
      <c r="B10" s="1" t="s">
        <v>8</v>
      </c>
      <c r="C10" s="2">
        <v>20453.973832203599</v>
      </c>
      <c r="D10" s="2">
        <v>30797.043414055999</v>
      </c>
      <c r="E10" s="2">
        <v>14900</v>
      </c>
    </row>
    <row r="11" spans="1:6" ht="15" customHeight="1" x14ac:dyDescent="0.25">
      <c r="A11" s="1" t="s">
        <v>9</v>
      </c>
      <c r="B11" s="1" t="s">
        <v>10</v>
      </c>
      <c r="C11" s="2">
        <v>262.36200000000002</v>
      </c>
      <c r="D11" s="2">
        <v>577.74900000000002</v>
      </c>
      <c r="E11" s="5">
        <v>0</v>
      </c>
    </row>
    <row r="12" spans="1:6" ht="15" customHeight="1" x14ac:dyDescent="0.25">
      <c r="A12" s="1" t="s">
        <v>11</v>
      </c>
      <c r="B12" s="1" t="s">
        <v>12</v>
      </c>
      <c r="C12" s="2">
        <v>3320.1</v>
      </c>
      <c r="D12" s="2">
        <v>2242</v>
      </c>
      <c r="E12" s="2">
        <v>23342</v>
      </c>
    </row>
    <row r="13" spans="1:6" ht="15" customHeight="1" x14ac:dyDescent="0.25">
      <c r="A13" s="1" t="s">
        <v>13</v>
      </c>
      <c r="B13" s="1" t="s">
        <v>14</v>
      </c>
      <c r="C13" s="2">
        <v>23173.6929583973</v>
      </c>
      <c r="D13" s="2">
        <v>21141.3774657461</v>
      </c>
      <c r="E13" s="2">
        <v>77000</v>
      </c>
    </row>
    <row r="14" spans="1:6" ht="15" customHeight="1" x14ac:dyDescent="0.25">
      <c r="A14" s="1" t="s">
        <v>15</v>
      </c>
      <c r="B14" s="1" t="s">
        <v>16</v>
      </c>
      <c r="C14" s="2">
        <v>2539</v>
      </c>
      <c r="D14" s="5">
        <v>0</v>
      </c>
      <c r="E14" s="5">
        <v>0</v>
      </c>
    </row>
    <row r="15" spans="1:6" ht="15" customHeight="1" x14ac:dyDescent="0.25">
      <c r="A15" s="1" t="s">
        <v>17</v>
      </c>
      <c r="B15" s="1" t="s">
        <v>18</v>
      </c>
      <c r="C15" s="2">
        <v>30995.9</v>
      </c>
      <c r="D15" s="2">
        <v>10430</v>
      </c>
      <c r="E15" s="2">
        <v>9500</v>
      </c>
    </row>
    <row r="16" spans="1:6" ht="15" customHeight="1" x14ac:dyDescent="0.25">
      <c r="A16" s="1" t="s">
        <v>19</v>
      </c>
      <c r="B16" s="1" t="s">
        <v>20</v>
      </c>
      <c r="C16" s="2">
        <v>3093.2738438635402</v>
      </c>
      <c r="D16" s="2">
        <v>1431.44884413813</v>
      </c>
      <c r="E16" s="2">
        <v>15724</v>
      </c>
    </row>
    <row r="17" spans="1:5" ht="15" customHeight="1" x14ac:dyDescent="0.25">
      <c r="A17" s="1" t="s">
        <v>21</v>
      </c>
      <c r="B17" s="1" t="s">
        <v>22</v>
      </c>
      <c r="C17" s="2">
        <v>69538</v>
      </c>
      <c r="D17" s="5">
        <v>0</v>
      </c>
      <c r="E17" s="2">
        <v>42698</v>
      </c>
    </row>
    <row r="18" spans="1:5" ht="15" customHeight="1" x14ac:dyDescent="0.25">
      <c r="A18" s="1" t="s">
        <v>23</v>
      </c>
      <c r="B18" s="1" t="s">
        <v>24</v>
      </c>
      <c r="C18" s="2">
        <v>3144</v>
      </c>
      <c r="D18" s="2">
        <v>18394</v>
      </c>
      <c r="E18" s="2">
        <v>2164</v>
      </c>
    </row>
    <row r="19" spans="1:5" ht="15" customHeight="1" x14ac:dyDescent="0.25">
      <c r="A19" s="1" t="s">
        <v>25</v>
      </c>
      <c r="B19" s="1" t="s">
        <v>26</v>
      </c>
      <c r="C19" s="2">
        <v>729.94899999999996</v>
      </c>
      <c r="D19" s="2">
        <v>521.64200000000005</v>
      </c>
      <c r="E19" s="5">
        <v>0</v>
      </c>
    </row>
    <row r="20" spans="1:5" ht="15" customHeight="1" x14ac:dyDescent="0.25">
      <c r="A20" s="1" t="s">
        <v>27</v>
      </c>
      <c r="B20" s="1" t="s">
        <v>28</v>
      </c>
      <c r="C20" s="2">
        <v>110.05200000000001</v>
      </c>
      <c r="D20" s="2">
        <v>1.2869999999999999</v>
      </c>
      <c r="E20" s="5">
        <v>0</v>
      </c>
    </row>
    <row r="21" spans="1:5" ht="15" customHeight="1" x14ac:dyDescent="0.25">
      <c r="A21" s="1" t="s">
        <v>29</v>
      </c>
      <c r="B21" s="1" t="s">
        <v>30</v>
      </c>
      <c r="C21" s="2">
        <v>6297</v>
      </c>
      <c r="D21" s="2">
        <v>2162.5</v>
      </c>
      <c r="E21" s="2">
        <v>7400</v>
      </c>
    </row>
    <row r="22" spans="1:5" ht="15" customHeight="1" x14ac:dyDescent="0.25">
      <c r="A22" s="1" t="s">
        <v>31</v>
      </c>
      <c r="B22" s="1" t="s">
        <v>32</v>
      </c>
      <c r="C22" s="2">
        <v>1712.1</v>
      </c>
      <c r="D22" s="2">
        <v>264.10000000000002</v>
      </c>
      <c r="E22" s="2">
        <v>1331</v>
      </c>
    </row>
    <row r="23" spans="1:5" ht="15" customHeight="1" x14ac:dyDescent="0.25">
      <c r="A23" s="1" t="s">
        <v>33</v>
      </c>
      <c r="B23" s="1" t="s">
        <v>34</v>
      </c>
      <c r="C23" s="2">
        <v>160</v>
      </c>
      <c r="D23" s="5">
        <v>0</v>
      </c>
      <c r="E23" s="5">
        <v>0</v>
      </c>
    </row>
    <row r="24" spans="1:5" ht="15" customHeight="1" x14ac:dyDescent="0.25">
      <c r="A24" s="1" t="s">
        <v>35</v>
      </c>
      <c r="B24" s="1" t="s">
        <v>36</v>
      </c>
      <c r="C24" s="2">
        <v>1128.171</v>
      </c>
      <c r="D24" s="2">
        <v>90.415000000000006</v>
      </c>
      <c r="E24" s="2">
        <v>2859</v>
      </c>
    </row>
    <row r="25" spans="1:5" ht="15" customHeight="1" x14ac:dyDescent="0.25">
      <c r="A25" s="1" t="s">
        <v>37</v>
      </c>
      <c r="B25" s="1" t="s">
        <v>38</v>
      </c>
      <c r="C25" s="2">
        <v>883.78804229233003</v>
      </c>
      <c r="D25" s="2">
        <v>9524.8539482719098</v>
      </c>
      <c r="E25" s="2">
        <v>741</v>
      </c>
    </row>
    <row r="26" spans="1:5" ht="15" customHeight="1" x14ac:dyDescent="0.25">
      <c r="A26" s="1" t="s">
        <v>39</v>
      </c>
      <c r="B26" s="1" t="s">
        <v>40</v>
      </c>
      <c r="C26" s="2">
        <v>3869</v>
      </c>
      <c r="D26" s="2">
        <v>19231</v>
      </c>
      <c r="E26" s="2">
        <v>5988</v>
      </c>
    </row>
    <row r="27" spans="1:5" ht="15" customHeight="1" x14ac:dyDescent="0.25">
      <c r="A27" s="1" t="s">
        <v>41</v>
      </c>
      <c r="B27" s="1" t="s">
        <v>42</v>
      </c>
      <c r="C27" s="2">
        <v>1186.519</v>
      </c>
      <c r="D27" s="2">
        <v>342.00900000000001</v>
      </c>
      <c r="E27" s="2">
        <v>1737</v>
      </c>
    </row>
    <row r="28" spans="1:5" ht="15" customHeight="1" x14ac:dyDescent="0.25">
      <c r="A28" s="1" t="s">
        <v>43</v>
      </c>
      <c r="B28" s="1" t="s">
        <v>44</v>
      </c>
      <c r="C28" s="2">
        <v>1823.337</v>
      </c>
      <c r="D28" s="2">
        <v>1843.9690000000001</v>
      </c>
      <c r="E28" s="2">
        <v>4400</v>
      </c>
    </row>
    <row r="29" spans="1:5" ht="15" customHeight="1" x14ac:dyDescent="0.25">
      <c r="A29" s="1" t="s">
        <v>45</v>
      </c>
      <c r="B29" s="1" t="s">
        <v>46</v>
      </c>
      <c r="C29" s="2">
        <v>5194</v>
      </c>
      <c r="D29" s="5">
        <v>0</v>
      </c>
      <c r="E29" s="2">
        <v>3558</v>
      </c>
    </row>
    <row r="30" spans="1:5" ht="15" customHeight="1" x14ac:dyDescent="0.25">
      <c r="A30" s="1" t="s">
        <v>47</v>
      </c>
      <c r="B30" s="1" t="s">
        <v>48</v>
      </c>
      <c r="C30" s="2">
        <v>2106</v>
      </c>
      <c r="D30" s="2">
        <v>3882.8</v>
      </c>
      <c r="E30" s="2">
        <v>455</v>
      </c>
    </row>
    <row r="31" spans="1:5" ht="15" customHeight="1" x14ac:dyDescent="0.25">
      <c r="A31" s="1" t="s">
        <v>49</v>
      </c>
      <c r="B31" s="1" t="s">
        <v>50</v>
      </c>
      <c r="C31" s="2">
        <v>3539</v>
      </c>
      <c r="D31" s="2">
        <v>1598.2</v>
      </c>
      <c r="E31" s="5">
        <v>0</v>
      </c>
    </row>
    <row r="32" spans="1:5" ht="15" customHeight="1" x14ac:dyDescent="0.25">
      <c r="A32" s="1" t="s">
        <v>51</v>
      </c>
      <c r="B32" s="1" t="s">
        <v>52</v>
      </c>
      <c r="C32" s="2">
        <v>505.83699999999999</v>
      </c>
      <c r="D32" s="2">
        <v>1074.018</v>
      </c>
      <c r="E32" s="2">
        <v>230</v>
      </c>
    </row>
    <row r="33" spans="1:5" ht="15" customHeight="1" x14ac:dyDescent="0.25">
      <c r="A33" s="1" t="s">
        <v>53</v>
      </c>
      <c r="B33" s="1" t="s">
        <v>54</v>
      </c>
      <c r="C33" s="2">
        <v>5241.5</v>
      </c>
      <c r="D33" s="5">
        <v>0</v>
      </c>
      <c r="E33" s="2">
        <v>4762</v>
      </c>
    </row>
    <row r="34" spans="1:5" ht="15" customHeight="1" x14ac:dyDescent="0.25">
      <c r="A34" s="1" t="s">
        <v>55</v>
      </c>
      <c r="B34" s="1" t="s">
        <v>56</v>
      </c>
      <c r="C34" s="2">
        <v>79153.099278257199</v>
      </c>
      <c r="D34" s="2">
        <v>230965.13313642499</v>
      </c>
      <c r="E34" s="2">
        <v>91304</v>
      </c>
    </row>
    <row r="35" spans="1:5" ht="15" customHeight="1" x14ac:dyDescent="0.25">
      <c r="A35" s="1" t="s">
        <v>57</v>
      </c>
      <c r="B35" s="1" t="s">
        <v>58</v>
      </c>
      <c r="C35" s="2">
        <v>37520.430585080598</v>
      </c>
      <c r="D35" s="2">
        <v>1613.8328562843799</v>
      </c>
      <c r="E35" s="2">
        <v>10205</v>
      </c>
    </row>
    <row r="36" spans="1:5" ht="15" customHeight="1" x14ac:dyDescent="0.25">
      <c r="A36" s="1" t="s">
        <v>59</v>
      </c>
      <c r="B36" s="1" t="s">
        <v>60</v>
      </c>
      <c r="C36" s="2">
        <v>16294.4</v>
      </c>
      <c r="D36" s="2">
        <v>18398</v>
      </c>
      <c r="E36" s="5">
        <v>0</v>
      </c>
    </row>
    <row r="37" spans="1:5" ht="15" customHeight="1" x14ac:dyDescent="0.25">
      <c r="A37" s="1" t="s">
        <v>61</v>
      </c>
      <c r="B37" s="1" t="s">
        <v>62</v>
      </c>
      <c r="C37" s="2">
        <v>10298.611569119301</v>
      </c>
      <c r="D37" s="2">
        <v>14942.2446022154</v>
      </c>
      <c r="E37" s="2">
        <v>12093</v>
      </c>
    </row>
    <row r="38" spans="1:5" ht="15" customHeight="1" x14ac:dyDescent="0.25">
      <c r="A38" s="1" t="s">
        <v>63</v>
      </c>
      <c r="B38" s="1" t="s">
        <v>64</v>
      </c>
      <c r="C38" s="2">
        <v>1696.5509999999999</v>
      </c>
      <c r="D38" s="2">
        <v>246.90799999999999</v>
      </c>
      <c r="E38" s="2">
        <v>1119</v>
      </c>
    </row>
    <row r="39" spans="1:5" ht="15" customHeight="1" x14ac:dyDescent="0.25">
      <c r="A39" s="1" t="s">
        <v>65</v>
      </c>
      <c r="B39" s="1" t="s">
        <v>66</v>
      </c>
      <c r="C39" s="2">
        <v>203.30199999999999</v>
      </c>
      <c r="D39" s="5">
        <v>0</v>
      </c>
      <c r="E39" s="5">
        <v>0</v>
      </c>
    </row>
    <row r="40" spans="1:5" ht="15" customHeight="1" x14ac:dyDescent="0.25">
      <c r="A40" s="1" t="s">
        <v>67</v>
      </c>
      <c r="B40" s="1" t="s">
        <v>68</v>
      </c>
      <c r="C40" s="2">
        <v>528.20899999999995</v>
      </c>
      <c r="D40" s="2">
        <v>390.86099999999999</v>
      </c>
      <c r="E40" s="2">
        <v>172</v>
      </c>
    </row>
    <row r="41" spans="1:5" ht="15" customHeight="1" x14ac:dyDescent="0.25">
      <c r="A41" s="1" t="s">
        <v>69</v>
      </c>
      <c r="B41" s="1" t="s">
        <v>70</v>
      </c>
      <c r="C41" s="2">
        <v>3659.8021535133798</v>
      </c>
      <c r="D41" s="2">
        <v>14004.429796660201</v>
      </c>
      <c r="E41" s="2">
        <v>8152</v>
      </c>
    </row>
    <row r="42" spans="1:5" ht="15" customHeight="1" x14ac:dyDescent="0.25">
      <c r="A42" s="1" t="s">
        <v>71</v>
      </c>
      <c r="B42" s="1" t="s">
        <v>72</v>
      </c>
      <c r="C42" s="2">
        <v>1183.856</v>
      </c>
      <c r="D42" s="2">
        <v>115.194</v>
      </c>
      <c r="E42" s="2">
        <v>2500</v>
      </c>
    </row>
    <row r="43" spans="1:5" ht="15" customHeight="1" x14ac:dyDescent="0.25">
      <c r="A43" s="1" t="s">
        <v>73</v>
      </c>
      <c r="B43" s="1" t="s">
        <v>74</v>
      </c>
      <c r="C43" s="2">
        <v>361.41199999999998</v>
      </c>
      <c r="D43" s="2">
        <v>225.363</v>
      </c>
      <c r="E43" s="5">
        <v>0</v>
      </c>
    </row>
    <row r="44" spans="1:5" ht="15" customHeight="1" x14ac:dyDescent="0.25">
      <c r="A44" s="1" t="s">
        <v>75</v>
      </c>
      <c r="B44" s="1" t="s">
        <v>76</v>
      </c>
      <c r="C44" s="2">
        <v>431.79700000000003</v>
      </c>
      <c r="D44" s="2">
        <v>80.058999999999997</v>
      </c>
      <c r="E44" s="5">
        <v>0</v>
      </c>
    </row>
    <row r="45" spans="1:5" ht="15" customHeight="1" x14ac:dyDescent="0.25">
      <c r="A45" s="1" t="s">
        <v>77</v>
      </c>
      <c r="B45" s="1" t="s">
        <v>78</v>
      </c>
      <c r="C45" s="2">
        <v>234.68</v>
      </c>
      <c r="D45" s="5">
        <v>0</v>
      </c>
      <c r="E45" s="5">
        <v>0</v>
      </c>
    </row>
    <row r="46" spans="1:5" ht="15" customHeight="1" x14ac:dyDescent="0.25">
      <c r="A46" s="1" t="s">
        <v>79</v>
      </c>
      <c r="B46" s="1" t="s">
        <v>80</v>
      </c>
      <c r="C46" s="2">
        <v>3028.4</v>
      </c>
      <c r="D46" s="5">
        <v>0</v>
      </c>
      <c r="E46" s="2">
        <v>591</v>
      </c>
    </row>
    <row r="47" spans="1:5" ht="15" customHeight="1" x14ac:dyDescent="0.25">
      <c r="A47" s="1" t="s">
        <v>81</v>
      </c>
      <c r="B47" s="1" t="s">
        <v>82</v>
      </c>
      <c r="C47" s="2">
        <v>1938.0779104737201</v>
      </c>
      <c r="D47" s="2">
        <v>2998.8506267391699</v>
      </c>
      <c r="E47" s="5">
        <v>0</v>
      </c>
    </row>
    <row r="48" spans="1:5" ht="15" customHeight="1" x14ac:dyDescent="0.25">
      <c r="A48" s="1" t="s">
        <v>83</v>
      </c>
      <c r="B48" s="1" t="s">
        <v>84</v>
      </c>
      <c r="C48" s="2">
        <v>544.9</v>
      </c>
      <c r="D48" s="2">
        <v>16.5</v>
      </c>
      <c r="E48" s="5">
        <v>0</v>
      </c>
    </row>
    <row r="49" spans="1:5" ht="15" customHeight="1" x14ac:dyDescent="0.25">
      <c r="A49" s="1" t="s">
        <v>85</v>
      </c>
      <c r="B49" s="1" t="s">
        <v>86</v>
      </c>
      <c r="C49" s="2">
        <v>183.80699999999999</v>
      </c>
      <c r="D49" s="5">
        <v>0</v>
      </c>
      <c r="E49" s="5">
        <v>0</v>
      </c>
    </row>
    <row r="50" spans="1:5" ht="15" customHeight="1" x14ac:dyDescent="0.25">
      <c r="A50" s="1" t="s">
        <v>87</v>
      </c>
      <c r="B50" s="1" t="s">
        <v>88</v>
      </c>
      <c r="C50" s="2">
        <v>189.2</v>
      </c>
      <c r="D50" s="5">
        <v>0</v>
      </c>
      <c r="E50" s="5">
        <v>0</v>
      </c>
    </row>
    <row r="51" spans="1:5" ht="15" customHeight="1" x14ac:dyDescent="0.25">
      <c r="A51" s="1" t="s">
        <v>89</v>
      </c>
      <c r="B51" s="1" t="s">
        <v>90</v>
      </c>
      <c r="C51" s="2">
        <v>924.92628226279601</v>
      </c>
      <c r="D51" s="2">
        <v>11852.921034561699</v>
      </c>
      <c r="E51" s="2">
        <v>846</v>
      </c>
    </row>
    <row r="52" spans="1:5" ht="15" customHeight="1" x14ac:dyDescent="0.25">
      <c r="A52" s="1" t="s">
        <v>91</v>
      </c>
      <c r="B52" s="1" t="s">
        <v>92</v>
      </c>
      <c r="C52" s="2">
        <v>3788.9</v>
      </c>
      <c r="D52" s="2">
        <v>4909.8</v>
      </c>
      <c r="E52" s="2">
        <v>10000</v>
      </c>
    </row>
    <row r="53" spans="1:5" ht="15" customHeight="1" x14ac:dyDescent="0.25">
      <c r="A53" s="1" t="s">
        <v>93</v>
      </c>
      <c r="B53" s="1" t="s">
        <v>94</v>
      </c>
      <c r="C53" s="2">
        <v>2355.8000000000002</v>
      </c>
      <c r="D53" s="2">
        <v>826.4</v>
      </c>
      <c r="E53" s="2">
        <v>5500</v>
      </c>
    </row>
    <row r="54" spans="1:5" ht="15" customHeight="1" x14ac:dyDescent="0.25">
      <c r="A54" s="1" t="s">
        <v>95</v>
      </c>
      <c r="B54" s="1" t="s">
        <v>96</v>
      </c>
      <c r="C54" s="2">
        <v>674.226</v>
      </c>
      <c r="D54" s="2">
        <v>143.4</v>
      </c>
      <c r="E54" s="2">
        <v>1000</v>
      </c>
    </row>
    <row r="55" spans="1:5" ht="15" customHeight="1" x14ac:dyDescent="0.25">
      <c r="A55" s="1" t="s">
        <v>97</v>
      </c>
      <c r="B55" s="1" t="s">
        <v>98</v>
      </c>
      <c r="C55" s="2">
        <v>44487</v>
      </c>
      <c r="D55" s="2">
        <v>19143</v>
      </c>
      <c r="E55" s="2">
        <v>115000</v>
      </c>
    </row>
    <row r="56" spans="1:5" ht="15" customHeight="1" x14ac:dyDescent="0.25">
      <c r="A56" s="1" t="s">
        <v>99</v>
      </c>
      <c r="B56" s="1" t="s">
        <v>100</v>
      </c>
      <c r="C56" s="2">
        <v>69857</v>
      </c>
      <c r="D56" s="5">
        <v>0</v>
      </c>
      <c r="E56" s="2">
        <v>51346</v>
      </c>
    </row>
    <row r="57" spans="1:5" ht="15" customHeight="1" x14ac:dyDescent="0.25">
      <c r="A57" s="1" t="s">
        <v>101</v>
      </c>
      <c r="B57" s="1" t="s">
        <v>102</v>
      </c>
      <c r="C57" s="2">
        <v>4732.94213857661</v>
      </c>
      <c r="D57" s="2">
        <v>865.18654154815204</v>
      </c>
      <c r="E57" s="2">
        <v>12891</v>
      </c>
    </row>
    <row r="58" spans="1:5" ht="15" customHeight="1" x14ac:dyDescent="0.25">
      <c r="A58" s="1" t="s">
        <v>103</v>
      </c>
      <c r="B58" s="1" t="s">
        <v>104</v>
      </c>
      <c r="C58" s="2">
        <v>23825.295967061498</v>
      </c>
      <c r="D58" s="2">
        <v>20453.1929504611</v>
      </c>
      <c r="E58" s="2">
        <v>29000</v>
      </c>
    </row>
    <row r="59" spans="1:5" ht="15" customHeight="1" x14ac:dyDescent="0.25">
      <c r="A59" s="1" t="s">
        <v>105</v>
      </c>
      <c r="B59" s="1" t="s">
        <v>106</v>
      </c>
      <c r="C59" s="2">
        <v>844.60199999999998</v>
      </c>
      <c r="D59" s="5">
        <v>0</v>
      </c>
      <c r="E59" s="5">
        <v>0</v>
      </c>
    </row>
    <row r="60" spans="1:5" ht="15" customHeight="1" x14ac:dyDescent="0.25">
      <c r="A60" s="1" t="s">
        <v>107</v>
      </c>
      <c r="B60" s="1" t="s">
        <v>108</v>
      </c>
      <c r="C60" s="2">
        <v>852.65899999999999</v>
      </c>
      <c r="D60" s="5">
        <v>0</v>
      </c>
      <c r="E60" s="2">
        <v>1446</v>
      </c>
    </row>
    <row r="61" spans="1:5" ht="15" customHeight="1" x14ac:dyDescent="0.25">
      <c r="A61" s="1" t="s">
        <v>109</v>
      </c>
      <c r="B61" s="1" t="s">
        <v>110</v>
      </c>
      <c r="C61" s="2">
        <v>0</v>
      </c>
      <c r="D61" s="2">
        <v>100.237048</v>
      </c>
      <c r="E61" s="5">
        <v>0</v>
      </c>
    </row>
    <row r="62" spans="1:5" ht="15" customHeight="1" x14ac:dyDescent="0.25">
      <c r="A62" s="1" t="s">
        <v>111</v>
      </c>
      <c r="B62" s="1" t="s">
        <v>112</v>
      </c>
      <c r="C62" s="2">
        <v>263.43299999999999</v>
      </c>
      <c r="D62" s="5">
        <v>0</v>
      </c>
      <c r="E62" s="5">
        <v>0</v>
      </c>
    </row>
    <row r="63" spans="1:5" ht="15" customHeight="1" x14ac:dyDescent="0.25">
      <c r="A63" s="1" t="s">
        <v>113</v>
      </c>
      <c r="B63" s="1" t="s">
        <v>114</v>
      </c>
      <c r="C63" s="2">
        <v>231.47202999999999</v>
      </c>
      <c r="D63" s="2">
        <v>180.00849600000001</v>
      </c>
      <c r="E63" s="5">
        <v>0</v>
      </c>
    </row>
    <row r="64" spans="1:5" ht="15" customHeight="1" x14ac:dyDescent="0.25">
      <c r="A64" s="1" t="s">
        <v>115</v>
      </c>
      <c r="B64" s="1" t="s">
        <v>116</v>
      </c>
      <c r="C64" s="2">
        <v>1007.6</v>
      </c>
      <c r="D64" s="2">
        <v>129.5</v>
      </c>
      <c r="E64" s="2">
        <v>900</v>
      </c>
    </row>
    <row r="65" spans="1:5" ht="15" customHeight="1" x14ac:dyDescent="0.25">
      <c r="A65" s="1" t="s">
        <v>117</v>
      </c>
      <c r="B65" s="1" t="s">
        <v>118</v>
      </c>
      <c r="C65" s="2">
        <v>2296.8780000000002</v>
      </c>
      <c r="D65" s="2">
        <v>658.02200000000005</v>
      </c>
      <c r="E65" s="2">
        <v>537</v>
      </c>
    </row>
    <row r="66" spans="1:5" ht="15" customHeight="1" x14ac:dyDescent="0.25">
      <c r="A66" s="1" t="s">
        <v>119</v>
      </c>
      <c r="B66" s="1" t="s">
        <v>120</v>
      </c>
      <c r="C66" s="2">
        <v>10472.1</v>
      </c>
      <c r="D66" s="2">
        <v>2260.1</v>
      </c>
      <c r="E66" s="2">
        <v>26000</v>
      </c>
    </row>
    <row r="67" spans="1:5" ht="15" customHeight="1" x14ac:dyDescent="0.25">
      <c r="A67" s="1" t="s">
        <v>121</v>
      </c>
      <c r="B67" s="1" t="s">
        <v>122</v>
      </c>
      <c r="C67" s="2">
        <v>216.547000000579</v>
      </c>
      <c r="D67" s="2">
        <v>48.500000000000099</v>
      </c>
      <c r="E67" s="2">
        <v>500</v>
      </c>
    </row>
    <row r="68" spans="1:5" ht="15" customHeight="1" x14ac:dyDescent="0.25">
      <c r="A68" s="1" t="s">
        <v>123</v>
      </c>
      <c r="B68" s="1" t="s">
        <v>124</v>
      </c>
      <c r="C68" s="2">
        <v>3710.1</v>
      </c>
      <c r="D68" s="2">
        <v>5472.1</v>
      </c>
      <c r="E68" s="2">
        <v>5500</v>
      </c>
    </row>
    <row r="69" spans="1:5" ht="15" customHeight="1" x14ac:dyDescent="0.25">
      <c r="A69" s="1" t="s">
        <v>125</v>
      </c>
      <c r="B69" s="1" t="s">
        <v>126</v>
      </c>
      <c r="C69" s="2">
        <v>13045.19</v>
      </c>
      <c r="D69" s="2">
        <v>1760.405</v>
      </c>
      <c r="E69" s="5">
        <v>0</v>
      </c>
    </row>
    <row r="70" spans="1:5" ht="15" customHeight="1" x14ac:dyDescent="0.25">
      <c r="A70" s="1" t="s">
        <v>127</v>
      </c>
      <c r="B70" s="1" t="s">
        <v>128</v>
      </c>
      <c r="C70" s="2">
        <v>3201.71</v>
      </c>
      <c r="D70" s="2">
        <v>431.34</v>
      </c>
      <c r="E70" s="5">
        <v>0</v>
      </c>
    </row>
    <row r="71" spans="1:5" ht="15" customHeight="1" x14ac:dyDescent="0.25">
      <c r="A71" s="1" t="s">
        <v>129</v>
      </c>
      <c r="B71" s="1" t="s">
        <v>130</v>
      </c>
      <c r="C71" s="2">
        <v>128.458</v>
      </c>
      <c r="D71" s="2">
        <v>68.722999999999999</v>
      </c>
      <c r="E71" s="2">
        <v>436</v>
      </c>
    </row>
    <row r="72" spans="1:5" ht="15" customHeight="1" x14ac:dyDescent="0.25">
      <c r="A72" s="1" t="s">
        <v>131</v>
      </c>
      <c r="B72" s="1" t="s">
        <v>132</v>
      </c>
      <c r="C72" s="2">
        <v>230.16499999999999</v>
      </c>
      <c r="D72" s="2">
        <v>837.14</v>
      </c>
      <c r="E72" s="2">
        <v>230</v>
      </c>
    </row>
    <row r="73" spans="1:5" ht="15" customHeight="1" x14ac:dyDescent="0.25">
      <c r="A73" s="1" t="s">
        <v>133</v>
      </c>
      <c r="B73" s="1" t="s">
        <v>134</v>
      </c>
      <c r="C73" s="2">
        <v>430.41399999999999</v>
      </c>
      <c r="D73" s="2">
        <v>226.57300000000001</v>
      </c>
      <c r="E73" s="2">
        <v>328</v>
      </c>
    </row>
    <row r="74" spans="1:5" ht="15" customHeight="1" x14ac:dyDescent="0.25">
      <c r="A74" s="1" t="s">
        <v>135</v>
      </c>
      <c r="B74" s="1" t="s">
        <v>136</v>
      </c>
      <c r="C74" s="2">
        <v>12058</v>
      </c>
      <c r="D74" s="2">
        <v>7867</v>
      </c>
      <c r="E74" s="2">
        <v>30000</v>
      </c>
    </row>
    <row r="75" spans="1:5" ht="15" customHeight="1" x14ac:dyDescent="0.25">
      <c r="A75" s="1" t="s">
        <v>137</v>
      </c>
      <c r="B75" s="1" t="s">
        <v>138</v>
      </c>
      <c r="C75" s="2">
        <v>4351.4750000000004</v>
      </c>
      <c r="D75" s="2">
        <v>5904.1310000000003</v>
      </c>
      <c r="E75" s="2">
        <v>2000</v>
      </c>
    </row>
    <row r="76" spans="1:5" ht="15" customHeight="1" x14ac:dyDescent="0.25">
      <c r="A76" s="1" t="s">
        <v>139</v>
      </c>
      <c r="B76" s="1" t="s">
        <v>140</v>
      </c>
      <c r="C76" s="2">
        <v>1221.5920000000001</v>
      </c>
      <c r="D76" s="2">
        <v>3393.5419999999999</v>
      </c>
      <c r="E76" s="5">
        <v>0</v>
      </c>
    </row>
    <row r="77" spans="1:5" ht="15" customHeight="1" x14ac:dyDescent="0.25">
      <c r="A77" s="1" t="s">
        <v>141</v>
      </c>
      <c r="B77" s="1" t="s">
        <v>142</v>
      </c>
      <c r="C77" s="2">
        <v>0</v>
      </c>
      <c r="D77" s="2">
        <v>25.690999999999999</v>
      </c>
      <c r="E77" s="5">
        <v>0</v>
      </c>
    </row>
    <row r="78" spans="1:5" ht="15" customHeight="1" x14ac:dyDescent="0.25">
      <c r="A78" s="1" t="s">
        <v>143</v>
      </c>
      <c r="B78" s="1" t="s">
        <v>144</v>
      </c>
      <c r="C78" s="2">
        <v>2078.4267850188098</v>
      </c>
      <c r="D78" s="2">
        <v>1795.8055847568901</v>
      </c>
      <c r="E78" s="2">
        <v>7661</v>
      </c>
    </row>
    <row r="79" spans="1:5" ht="15" customHeight="1" x14ac:dyDescent="0.25">
      <c r="A79" s="1" t="s">
        <v>145</v>
      </c>
      <c r="B79" s="1" t="s">
        <v>146</v>
      </c>
      <c r="C79" s="2">
        <v>5096.2161134144399</v>
      </c>
      <c r="D79" s="2">
        <v>5007.57198443579</v>
      </c>
      <c r="E79" s="2">
        <v>12500</v>
      </c>
    </row>
    <row r="80" spans="1:5" ht="15" customHeight="1" x14ac:dyDescent="0.25">
      <c r="A80" s="1" t="s">
        <v>147</v>
      </c>
      <c r="B80" s="1" t="s">
        <v>148</v>
      </c>
      <c r="C80" s="2">
        <v>2783.944</v>
      </c>
      <c r="D80" s="2">
        <v>547.06700000000001</v>
      </c>
      <c r="E80" s="2">
        <v>12411</v>
      </c>
    </row>
    <row r="81" spans="1:5" ht="15" customHeight="1" x14ac:dyDescent="0.25">
      <c r="A81" s="1" t="s">
        <v>149</v>
      </c>
      <c r="B81" s="1" t="s">
        <v>150</v>
      </c>
      <c r="C81" s="2">
        <v>23996.689865463599</v>
      </c>
      <c r="D81" s="2">
        <v>60958.266575497597</v>
      </c>
      <c r="E81" s="5">
        <v>0</v>
      </c>
    </row>
    <row r="82" spans="1:5" ht="15" customHeight="1" x14ac:dyDescent="0.25">
      <c r="A82" s="1" t="s">
        <v>151</v>
      </c>
      <c r="B82" s="1" t="s">
        <v>152</v>
      </c>
      <c r="C82" s="2">
        <v>219.517</v>
      </c>
      <c r="D82" s="2">
        <v>7.4189999999999996</v>
      </c>
      <c r="E82" s="5">
        <v>0</v>
      </c>
    </row>
    <row r="83" spans="1:5" ht="15" customHeight="1" x14ac:dyDescent="0.25">
      <c r="A83" s="1" t="s">
        <v>153</v>
      </c>
      <c r="B83" s="1" t="s">
        <v>154</v>
      </c>
      <c r="C83" s="2">
        <v>920.14099999999996</v>
      </c>
      <c r="D83" s="2">
        <v>984.49</v>
      </c>
      <c r="E83" s="2">
        <v>1693</v>
      </c>
    </row>
    <row r="84" spans="1:5" ht="15" customHeight="1" x14ac:dyDescent="0.25">
      <c r="A84" s="1" t="s">
        <v>155</v>
      </c>
      <c r="B84" s="1" t="s">
        <v>156</v>
      </c>
      <c r="C84" s="2">
        <v>2293</v>
      </c>
      <c r="D84" s="2">
        <v>190.8</v>
      </c>
      <c r="E84" s="2">
        <v>1030</v>
      </c>
    </row>
    <row r="85" spans="1:5" ht="15" customHeight="1" x14ac:dyDescent="0.25">
      <c r="A85" s="1" t="s">
        <v>157</v>
      </c>
      <c r="B85" s="1" t="s">
        <v>158</v>
      </c>
      <c r="C85" s="2">
        <v>1029.9000000000001</v>
      </c>
      <c r="D85" s="2">
        <v>22.5</v>
      </c>
      <c r="E85" s="5">
        <v>0</v>
      </c>
    </row>
    <row r="86" spans="1:5" ht="15" customHeight="1" x14ac:dyDescent="0.25">
      <c r="A86" s="1" t="s">
        <v>159</v>
      </c>
      <c r="B86" s="1" t="s">
        <v>160</v>
      </c>
      <c r="C86" s="2">
        <v>1253.4723689227001</v>
      </c>
      <c r="D86" s="2">
        <v>49.538897072762801</v>
      </c>
      <c r="E86" s="2">
        <v>239</v>
      </c>
    </row>
    <row r="87" spans="1:5" ht="15" customHeight="1" x14ac:dyDescent="0.25">
      <c r="A87" s="1" t="s">
        <v>161</v>
      </c>
      <c r="B87" s="1" t="s">
        <v>162</v>
      </c>
      <c r="C87" s="2">
        <v>7286.8</v>
      </c>
      <c r="D87" s="2">
        <v>2148.4</v>
      </c>
      <c r="E87" s="5">
        <v>0</v>
      </c>
    </row>
    <row r="88" spans="1:5" ht="15" customHeight="1" x14ac:dyDescent="0.25">
      <c r="A88" s="1" t="s">
        <v>163</v>
      </c>
      <c r="B88" s="1" t="s">
        <v>164</v>
      </c>
      <c r="C88" s="2">
        <v>957.36700001257395</v>
      </c>
      <c r="D88" s="2">
        <v>1149.0820000102599</v>
      </c>
      <c r="E88" s="5">
        <v>0</v>
      </c>
    </row>
    <row r="89" spans="1:5" ht="15" customHeight="1" x14ac:dyDescent="0.25">
      <c r="A89" s="1" t="s">
        <v>165</v>
      </c>
      <c r="B89" s="1" t="s">
        <v>166</v>
      </c>
      <c r="C89" s="2">
        <v>4121.4669999999996</v>
      </c>
      <c r="D89" s="2">
        <v>2198.0100000000002</v>
      </c>
      <c r="E89" s="2">
        <v>6600</v>
      </c>
    </row>
    <row r="90" spans="1:5" ht="15" customHeight="1" x14ac:dyDescent="0.25">
      <c r="A90" s="1" t="s">
        <v>167</v>
      </c>
      <c r="B90" s="1" t="s">
        <v>168</v>
      </c>
      <c r="C90" s="2">
        <v>471.2</v>
      </c>
      <c r="D90" s="5">
        <v>0</v>
      </c>
      <c r="E90" s="2">
        <v>170</v>
      </c>
    </row>
    <row r="91" spans="1:5" ht="15" customHeight="1" x14ac:dyDescent="0.25">
      <c r="A91" s="1" t="s">
        <v>169</v>
      </c>
      <c r="B91" s="1" t="s">
        <v>170</v>
      </c>
      <c r="C91" s="2">
        <v>365.7</v>
      </c>
      <c r="D91" s="5">
        <v>0</v>
      </c>
      <c r="E91" s="2">
        <v>0</v>
      </c>
    </row>
    <row r="92" spans="1:5" ht="15" customHeight="1" x14ac:dyDescent="0.25">
      <c r="A92" s="1" t="s">
        <v>171</v>
      </c>
      <c r="B92" s="1" t="s">
        <v>172</v>
      </c>
      <c r="C92" s="2">
        <v>406.57299999999998</v>
      </c>
      <c r="D92" s="2">
        <v>39.970999999999997</v>
      </c>
      <c r="E92" s="2">
        <v>962</v>
      </c>
    </row>
    <row r="93" spans="1:5" ht="15" customHeight="1" x14ac:dyDescent="0.25">
      <c r="A93" s="1" t="s">
        <v>173</v>
      </c>
      <c r="B93" s="1" t="s">
        <v>174</v>
      </c>
      <c r="C93" s="2">
        <v>499.9</v>
      </c>
      <c r="D93" s="2">
        <v>3079.1</v>
      </c>
      <c r="E93" s="5">
        <v>0</v>
      </c>
    </row>
    <row r="94" spans="1:5" ht="15" customHeight="1" x14ac:dyDescent="0.25">
      <c r="A94" s="1" t="s">
        <v>175</v>
      </c>
      <c r="B94" s="1" t="s">
        <v>176</v>
      </c>
      <c r="C94" s="2">
        <v>1015.4</v>
      </c>
      <c r="D94" s="2">
        <v>4667</v>
      </c>
      <c r="E94" s="2">
        <v>909</v>
      </c>
    </row>
    <row r="95" spans="1:5" ht="15" customHeight="1" x14ac:dyDescent="0.25">
      <c r="A95" s="1" t="s">
        <v>177</v>
      </c>
      <c r="B95" s="1" t="s">
        <v>178</v>
      </c>
      <c r="C95" s="2">
        <v>431.39499999999998</v>
      </c>
      <c r="D95" s="2">
        <v>271.77100000000002</v>
      </c>
      <c r="E95" s="2">
        <v>816</v>
      </c>
    </row>
    <row r="96" spans="1:5" ht="15" customHeight="1" x14ac:dyDescent="0.25">
      <c r="A96" s="1" t="s">
        <v>179</v>
      </c>
      <c r="B96" s="1" t="s">
        <v>180</v>
      </c>
      <c r="C96" s="2">
        <v>2617.4493107958101</v>
      </c>
      <c r="D96" s="2">
        <v>4409.6809461235098</v>
      </c>
      <c r="E96" s="2">
        <v>6534</v>
      </c>
    </row>
    <row r="97" spans="1:5" ht="15" customHeight="1" x14ac:dyDescent="0.25">
      <c r="A97" s="1" t="s">
        <v>181</v>
      </c>
      <c r="B97" s="1" t="s">
        <v>182</v>
      </c>
      <c r="C97" s="2">
        <v>518.17399999999998</v>
      </c>
      <c r="D97" s="2">
        <v>24.227</v>
      </c>
      <c r="E97" s="5">
        <v>0</v>
      </c>
    </row>
    <row r="98" spans="1:5" ht="15" customHeight="1" x14ac:dyDescent="0.25">
      <c r="A98" s="1" t="s">
        <v>183</v>
      </c>
      <c r="B98" s="1" t="s">
        <v>184</v>
      </c>
      <c r="C98" s="2">
        <v>17708</v>
      </c>
      <c r="D98" s="5">
        <v>0</v>
      </c>
      <c r="E98" s="5">
        <v>0</v>
      </c>
    </row>
    <row r="99" spans="1:5" ht="15" customHeight="1" x14ac:dyDescent="0.25">
      <c r="A99" s="1" t="s">
        <v>185</v>
      </c>
      <c r="B99" s="1" t="s">
        <v>186</v>
      </c>
      <c r="C99" s="2">
        <v>0</v>
      </c>
      <c r="D99" s="2">
        <v>42.412637522202701</v>
      </c>
      <c r="E99" s="5">
        <v>0</v>
      </c>
    </row>
    <row r="100" spans="1:5" ht="15" customHeight="1" x14ac:dyDescent="0.25">
      <c r="A100" s="1" t="s">
        <v>187</v>
      </c>
      <c r="B100" s="1" t="s">
        <v>188</v>
      </c>
      <c r="C100" s="2">
        <v>556.31899999999996</v>
      </c>
      <c r="D100" s="2">
        <v>105.7</v>
      </c>
      <c r="E100" s="2">
        <v>1153</v>
      </c>
    </row>
    <row r="101" spans="1:5" ht="15" customHeight="1" x14ac:dyDescent="0.25">
      <c r="A101" s="1" t="s">
        <v>189</v>
      </c>
      <c r="B101" s="1" t="s">
        <v>190</v>
      </c>
      <c r="C101" s="2">
        <v>7319.3194307882504</v>
      </c>
      <c r="D101" s="2">
        <v>7460.2140031116996</v>
      </c>
      <c r="E101" s="2">
        <v>7500</v>
      </c>
    </row>
    <row r="102" spans="1:5" ht="15" customHeight="1" x14ac:dyDescent="0.25">
      <c r="A102" s="1" t="s">
        <v>191</v>
      </c>
      <c r="B102" s="1" t="s">
        <v>192</v>
      </c>
      <c r="C102" s="2">
        <v>10554.8</v>
      </c>
      <c r="D102" s="2">
        <v>1376.6</v>
      </c>
      <c r="E102" s="2">
        <v>16000</v>
      </c>
    </row>
    <row r="103" spans="1:5" ht="15" customHeight="1" x14ac:dyDescent="0.25">
      <c r="A103" s="1" t="s">
        <v>193</v>
      </c>
      <c r="B103" s="1" t="s">
        <v>194</v>
      </c>
      <c r="C103" s="2">
        <v>1075.5</v>
      </c>
      <c r="D103" s="5">
        <v>0</v>
      </c>
      <c r="E103" s="2">
        <v>557</v>
      </c>
    </row>
    <row r="104" spans="1:5" ht="15" customHeight="1" x14ac:dyDescent="0.25">
      <c r="A104" s="1" t="s">
        <v>195</v>
      </c>
      <c r="B104" s="1" t="s">
        <v>196</v>
      </c>
      <c r="C104" s="2">
        <v>974.85497998237304</v>
      </c>
      <c r="D104" s="5">
        <v>0</v>
      </c>
      <c r="E104" s="2">
        <v>167</v>
      </c>
    </row>
    <row r="105" spans="1:5" ht="15" customHeight="1" x14ac:dyDescent="0.25">
      <c r="A105" s="1" t="s">
        <v>197</v>
      </c>
      <c r="B105" s="1" t="s">
        <v>198</v>
      </c>
      <c r="C105" s="2">
        <v>336.74599999999998</v>
      </c>
      <c r="D105" s="2">
        <v>228.536</v>
      </c>
      <c r="E105" s="5">
        <v>0</v>
      </c>
    </row>
    <row r="106" spans="1:5" ht="15" customHeight="1" x14ac:dyDescent="0.25">
      <c r="A106" s="1" t="s">
        <v>199</v>
      </c>
      <c r="B106" s="1" t="s">
        <v>200</v>
      </c>
      <c r="C106" s="2">
        <v>7786</v>
      </c>
      <c r="D106" s="2">
        <v>113</v>
      </c>
      <c r="E106" s="5">
        <v>0</v>
      </c>
    </row>
    <row r="107" spans="1:5" ht="15" customHeight="1" x14ac:dyDescent="0.25">
      <c r="A107" s="1" t="s">
        <v>201</v>
      </c>
      <c r="B107" s="1" t="s">
        <v>202</v>
      </c>
      <c r="C107" s="2">
        <v>759.10467551450597</v>
      </c>
      <c r="D107" s="2">
        <v>7.2190177238761901</v>
      </c>
      <c r="E107" s="2">
        <v>642</v>
      </c>
    </row>
    <row r="108" spans="1:5" ht="15" customHeight="1" x14ac:dyDescent="0.25">
      <c r="A108" s="1" t="s">
        <v>203</v>
      </c>
      <c r="B108" s="1" t="s">
        <v>204</v>
      </c>
      <c r="C108" s="2">
        <v>5139.4699582927096</v>
      </c>
      <c r="D108" s="2">
        <v>1577.56681460714</v>
      </c>
      <c r="E108" s="2">
        <v>6800</v>
      </c>
    </row>
    <row r="109" spans="1:5" ht="15" customHeight="1" x14ac:dyDescent="0.25">
      <c r="A109" s="1" t="s">
        <v>205</v>
      </c>
      <c r="B109" s="1" t="s">
        <v>206</v>
      </c>
      <c r="C109" s="2">
        <v>297.565</v>
      </c>
      <c r="D109" s="2">
        <v>1519.1289999999999</v>
      </c>
      <c r="E109" s="2">
        <v>306</v>
      </c>
    </row>
    <row r="110" spans="1:5" ht="15" customHeight="1" x14ac:dyDescent="0.25">
      <c r="A110" s="1" t="s">
        <v>207</v>
      </c>
      <c r="B110" s="1" t="s">
        <v>208</v>
      </c>
      <c r="C110" s="2">
        <v>3661</v>
      </c>
      <c r="D110" s="2">
        <v>336.4</v>
      </c>
      <c r="E110" s="2">
        <v>900</v>
      </c>
    </row>
    <row r="111" spans="1:5" ht="15" customHeight="1" x14ac:dyDescent="0.25">
      <c r="A111" s="1" t="s">
        <v>209</v>
      </c>
      <c r="B111" s="1" t="s">
        <v>210</v>
      </c>
      <c r="C111" s="2">
        <v>798.13300000000004</v>
      </c>
      <c r="D111" s="2">
        <v>685.48299999999995</v>
      </c>
      <c r="E111" s="5">
        <v>0</v>
      </c>
    </row>
    <row r="112" spans="1:5" ht="15" customHeight="1" x14ac:dyDescent="0.25">
      <c r="A112" s="1" t="s">
        <v>211</v>
      </c>
      <c r="B112" s="1" t="s">
        <v>212</v>
      </c>
      <c r="C112" s="2">
        <v>556.51199999999994</v>
      </c>
      <c r="D112" s="2">
        <v>3104.5279999999998</v>
      </c>
      <c r="E112" s="2">
        <v>1127</v>
      </c>
    </row>
    <row r="113" spans="1:5" ht="15" customHeight="1" x14ac:dyDescent="0.25">
      <c r="A113" s="1" t="s">
        <v>213</v>
      </c>
      <c r="B113" s="1" t="s">
        <v>214</v>
      </c>
      <c r="C113" s="2">
        <v>33558</v>
      </c>
      <c r="D113" s="5">
        <v>0</v>
      </c>
      <c r="E113" s="2">
        <v>19124</v>
      </c>
    </row>
    <row r="114" spans="1:5" ht="15" customHeight="1" x14ac:dyDescent="0.25">
      <c r="A114" s="1" t="s">
        <v>215</v>
      </c>
      <c r="B114" s="1" t="s">
        <v>216</v>
      </c>
      <c r="C114" s="2">
        <v>300.39</v>
      </c>
      <c r="D114" s="2">
        <v>4.0460000000000003</v>
      </c>
      <c r="E114" s="2">
        <v>111</v>
      </c>
    </row>
    <row r="115" spans="1:5" ht="15" customHeight="1" x14ac:dyDescent="0.25">
      <c r="A115" s="1" t="s">
        <v>217</v>
      </c>
      <c r="B115" s="1" t="s">
        <v>218</v>
      </c>
      <c r="C115" s="2">
        <v>8532.7999999999993</v>
      </c>
      <c r="D115" s="5">
        <v>0</v>
      </c>
      <c r="E115" s="2">
        <v>3604</v>
      </c>
    </row>
    <row r="116" spans="1:5" ht="15" customHeight="1" x14ac:dyDescent="0.25">
      <c r="A116" s="1" t="s">
        <v>219</v>
      </c>
      <c r="B116" s="1" t="s">
        <v>220</v>
      </c>
      <c r="C116" s="2">
        <v>227.06</v>
      </c>
      <c r="D116" s="2">
        <v>165.79400000000001</v>
      </c>
      <c r="E116" s="5">
        <v>0</v>
      </c>
    </row>
    <row r="117" spans="1:5" ht="15" customHeight="1" x14ac:dyDescent="0.25">
      <c r="A117" s="1" t="s">
        <v>221</v>
      </c>
      <c r="B117" s="1" t="s">
        <v>222</v>
      </c>
      <c r="C117" s="2">
        <v>26.555245628096198</v>
      </c>
      <c r="D117" s="2">
        <v>21.010147249694</v>
      </c>
      <c r="E117" s="2">
        <v>81</v>
      </c>
    </row>
    <row r="118" spans="1:5" ht="15" customHeight="1" x14ac:dyDescent="0.25">
      <c r="A118" s="1" t="s">
        <v>223</v>
      </c>
      <c r="B118" s="1" t="s">
        <v>224</v>
      </c>
      <c r="C118" s="2">
        <v>17354</v>
      </c>
      <c r="D118" s="2">
        <v>1726.5</v>
      </c>
      <c r="E118" s="2">
        <v>14000</v>
      </c>
    </row>
    <row r="119" spans="1:5" ht="15" customHeight="1" x14ac:dyDescent="0.25">
      <c r="A119" s="1" t="s">
        <v>225</v>
      </c>
      <c r="B119" s="1" t="s">
        <v>226</v>
      </c>
      <c r="C119" s="2">
        <v>4472</v>
      </c>
      <c r="D119" s="2">
        <v>12329</v>
      </c>
      <c r="E119" s="2">
        <v>8456</v>
      </c>
    </row>
    <row r="120" spans="1:5" ht="15" customHeight="1" x14ac:dyDescent="0.25">
      <c r="A120" s="1" t="s">
        <v>227</v>
      </c>
      <c r="B120" s="1" t="s">
        <v>228</v>
      </c>
      <c r="C120" s="2">
        <v>0</v>
      </c>
      <c r="D120" s="2">
        <v>1.735703</v>
      </c>
      <c r="E120" s="5">
        <v>0</v>
      </c>
    </row>
    <row r="121" spans="1:5" ht="15" customHeight="1" x14ac:dyDescent="0.25">
      <c r="A121" s="1" t="s">
        <v>229</v>
      </c>
      <c r="B121" s="1" t="s">
        <v>230</v>
      </c>
      <c r="C121" s="2">
        <v>2466</v>
      </c>
      <c r="D121" s="2">
        <v>43</v>
      </c>
      <c r="E121" s="2">
        <v>1651</v>
      </c>
    </row>
    <row r="122" spans="1:5" ht="15" customHeight="1" x14ac:dyDescent="0.25">
      <c r="A122" s="1" t="s">
        <v>231</v>
      </c>
      <c r="B122" s="1" t="s">
        <v>232</v>
      </c>
      <c r="C122" s="2">
        <v>2153.1559999999999</v>
      </c>
      <c r="D122" s="2">
        <v>456.47500000000002</v>
      </c>
      <c r="E122" s="2">
        <v>7375</v>
      </c>
    </row>
    <row r="123" spans="1:5" ht="15" customHeight="1" x14ac:dyDescent="0.25">
      <c r="A123" s="1" t="s">
        <v>233</v>
      </c>
      <c r="B123" s="1" t="s">
        <v>234</v>
      </c>
      <c r="C123" s="2">
        <v>60247</v>
      </c>
      <c r="D123" s="5">
        <v>0</v>
      </c>
      <c r="E123" s="2">
        <v>41880</v>
      </c>
    </row>
    <row r="124" spans="1:5" ht="15" customHeight="1" x14ac:dyDescent="0.25">
      <c r="A124" s="1" t="s">
        <v>235</v>
      </c>
      <c r="B124" s="1" t="s">
        <v>236</v>
      </c>
      <c r="C124" s="2">
        <v>316.40800000000002</v>
      </c>
      <c r="D124" s="2">
        <v>19.199000000000002</v>
      </c>
      <c r="E124" s="2">
        <v>636</v>
      </c>
    </row>
    <row r="125" spans="1:5" ht="15" customHeight="1" x14ac:dyDescent="0.25">
      <c r="A125" s="1" t="s">
        <v>237</v>
      </c>
      <c r="B125" s="1" t="s">
        <v>238</v>
      </c>
      <c r="C125" s="2">
        <v>64.634</v>
      </c>
      <c r="D125" s="5">
        <v>0</v>
      </c>
      <c r="E125" s="5">
        <v>0</v>
      </c>
    </row>
    <row r="126" spans="1:5" ht="15" customHeight="1" x14ac:dyDescent="0.25">
      <c r="A126" s="1" t="s">
        <v>239</v>
      </c>
      <c r="B126" s="1" t="s">
        <v>240</v>
      </c>
      <c r="C126" s="2">
        <v>1750.704</v>
      </c>
      <c r="D126" s="5">
        <v>0</v>
      </c>
      <c r="E126" s="2">
        <v>1361</v>
      </c>
    </row>
    <row r="127" spans="1:5" ht="15" customHeight="1" x14ac:dyDescent="0.25">
      <c r="A127" s="1" t="s">
        <v>241</v>
      </c>
      <c r="B127" s="1" t="s">
        <v>242</v>
      </c>
      <c r="C127" s="2">
        <v>34268.819453347598</v>
      </c>
      <c r="D127" s="2">
        <v>80283.454898880795</v>
      </c>
      <c r="E127" s="2">
        <v>44100</v>
      </c>
    </row>
    <row r="128" spans="1:5" ht="15" customHeight="1" x14ac:dyDescent="0.25">
      <c r="A128" s="1" t="s">
        <v>243</v>
      </c>
      <c r="B128" s="1" t="s">
        <v>244</v>
      </c>
      <c r="C128" s="2">
        <v>13050.6470751163</v>
      </c>
      <c r="D128" s="2">
        <v>7692.0738942494399</v>
      </c>
      <c r="E128" s="2">
        <v>22300</v>
      </c>
    </row>
    <row r="129" spans="1:5" ht="15" customHeight="1" x14ac:dyDescent="0.25">
      <c r="A129" s="1" t="s">
        <v>245</v>
      </c>
      <c r="B129" s="1" t="s">
        <v>246</v>
      </c>
      <c r="C129" s="2">
        <v>0</v>
      </c>
      <c r="D129" s="2">
        <v>25.2733743176275</v>
      </c>
      <c r="E129" s="2">
        <v>142</v>
      </c>
    </row>
    <row r="130" spans="1:5" ht="15" customHeight="1" x14ac:dyDescent="0.25">
      <c r="A130" s="1" t="s">
        <v>247</v>
      </c>
      <c r="B130" s="1" t="s">
        <v>248</v>
      </c>
      <c r="C130" s="2">
        <v>427.209</v>
      </c>
      <c r="D130" s="2">
        <v>6160.58</v>
      </c>
      <c r="E130" s="2">
        <v>310</v>
      </c>
    </row>
    <row r="131" spans="1:5" ht="15" customHeight="1" x14ac:dyDescent="0.25">
      <c r="A131" s="1" t="s">
        <v>249</v>
      </c>
      <c r="B131" s="1" t="s">
        <v>250</v>
      </c>
      <c r="C131" s="2">
        <v>3563.2</v>
      </c>
      <c r="D131" s="5">
        <v>0</v>
      </c>
      <c r="E131" s="2">
        <v>2019</v>
      </c>
    </row>
    <row r="132" spans="1:5" ht="15" customHeight="1" x14ac:dyDescent="0.25">
      <c r="A132" s="1" t="s">
        <v>251</v>
      </c>
      <c r="B132" s="1" t="s">
        <v>252</v>
      </c>
      <c r="C132" s="2">
        <v>495.28300000000002</v>
      </c>
      <c r="D132" s="2">
        <v>413.84399999999999</v>
      </c>
      <c r="E132" s="2">
        <v>850</v>
      </c>
    </row>
    <row r="133" spans="1:5" ht="15" customHeight="1" x14ac:dyDescent="0.25">
      <c r="A133" s="1" t="s">
        <v>253</v>
      </c>
      <c r="B133" s="1" t="s">
        <v>254</v>
      </c>
      <c r="C133" s="2">
        <v>2557.4815091218202</v>
      </c>
      <c r="D133" s="2">
        <v>2987.7540196571599</v>
      </c>
      <c r="E133" s="5">
        <v>0</v>
      </c>
    </row>
    <row r="134" spans="1:5" ht="15" customHeight="1" x14ac:dyDescent="0.25">
      <c r="A134" s="1" t="s">
        <v>255</v>
      </c>
      <c r="B134" s="1" t="s">
        <v>256</v>
      </c>
      <c r="C134" s="2">
        <v>2125.6570000000002</v>
      </c>
      <c r="D134" s="2">
        <v>681.80799999999999</v>
      </c>
      <c r="E134" s="2">
        <v>4193</v>
      </c>
    </row>
    <row r="135" spans="1:5" ht="15" customHeight="1" x14ac:dyDescent="0.25">
      <c r="A135" s="1" t="s">
        <v>257</v>
      </c>
      <c r="B135" s="1" t="s">
        <v>258</v>
      </c>
      <c r="C135" s="2">
        <v>6414.9</v>
      </c>
      <c r="D135" s="2">
        <v>12038.5</v>
      </c>
      <c r="E135" s="2">
        <v>8728</v>
      </c>
    </row>
    <row r="136" spans="1:5" ht="15" customHeight="1" x14ac:dyDescent="0.25">
      <c r="A136" s="1" t="s">
        <v>259</v>
      </c>
      <c r="B136" s="1" t="s">
        <v>260</v>
      </c>
      <c r="C136" s="2">
        <v>3267.69</v>
      </c>
      <c r="D136" s="2">
        <v>1419.7660000000001</v>
      </c>
      <c r="E136" s="2">
        <v>8800</v>
      </c>
    </row>
    <row r="137" spans="1:5" ht="15" customHeight="1" x14ac:dyDescent="0.25">
      <c r="A137" s="1" t="s">
        <v>261</v>
      </c>
      <c r="B137" s="1" t="s">
        <v>262</v>
      </c>
      <c r="C137" s="2">
        <v>404.29199999999997</v>
      </c>
      <c r="D137" s="2">
        <v>137.49299999999999</v>
      </c>
      <c r="E137" s="5">
        <v>0</v>
      </c>
    </row>
    <row r="138" spans="1:5" ht="15" customHeight="1" x14ac:dyDescent="0.25">
      <c r="A138" s="1" t="s">
        <v>263</v>
      </c>
      <c r="B138" s="1" t="s">
        <v>264</v>
      </c>
      <c r="C138" s="2">
        <v>8144.5</v>
      </c>
      <c r="D138" s="2">
        <v>8315</v>
      </c>
      <c r="E138" s="2">
        <v>14000</v>
      </c>
    </row>
    <row r="139" spans="1:5" ht="15" customHeight="1" x14ac:dyDescent="0.25">
      <c r="A139" s="1" t="s">
        <v>265</v>
      </c>
      <c r="B139" s="1" t="s">
        <v>266</v>
      </c>
      <c r="C139" s="2">
        <v>17118</v>
      </c>
      <c r="D139" s="2">
        <v>9954</v>
      </c>
      <c r="E139" s="2">
        <v>5000</v>
      </c>
    </row>
    <row r="140" spans="1:5" ht="15" customHeight="1" x14ac:dyDescent="0.25">
      <c r="A140" s="1" t="s">
        <v>267</v>
      </c>
      <c r="B140" s="1" t="s">
        <v>268</v>
      </c>
      <c r="C140" s="2">
        <v>2090.1999999999998</v>
      </c>
      <c r="D140" s="2">
        <v>2647.7</v>
      </c>
      <c r="E140" s="2">
        <v>4300</v>
      </c>
    </row>
    <row r="141" spans="1:5" ht="15" customHeight="1" x14ac:dyDescent="0.25">
      <c r="A141" s="1" t="s">
        <v>269</v>
      </c>
      <c r="B141" s="1" t="s">
        <v>270</v>
      </c>
      <c r="C141" s="2">
        <v>274.34758822058501</v>
      </c>
      <c r="D141" s="2">
        <v>864.96986343721801</v>
      </c>
      <c r="E141" s="5">
        <v>0</v>
      </c>
    </row>
    <row r="142" spans="1:5" ht="15" customHeight="1" x14ac:dyDescent="0.25">
      <c r="A142" s="1" t="s">
        <v>271</v>
      </c>
      <c r="B142" s="1" t="s">
        <v>272</v>
      </c>
      <c r="C142" s="2">
        <v>357.30245100000002</v>
      </c>
      <c r="D142" s="2">
        <v>480.14915500000001</v>
      </c>
      <c r="E142" s="5">
        <v>0</v>
      </c>
    </row>
    <row r="143" spans="1:5" ht="15" customHeight="1" x14ac:dyDescent="0.25">
      <c r="A143" s="1" t="s">
        <v>273</v>
      </c>
      <c r="B143" s="1" t="s">
        <v>274</v>
      </c>
      <c r="C143" s="2">
        <v>0</v>
      </c>
      <c r="D143" s="2">
        <v>1.9970159999999999</v>
      </c>
      <c r="E143" s="5">
        <v>0</v>
      </c>
    </row>
    <row r="144" spans="1:5" ht="15" customHeight="1" x14ac:dyDescent="0.25">
      <c r="A144" s="1" t="s">
        <v>275</v>
      </c>
      <c r="B144" s="1" t="s">
        <v>276</v>
      </c>
      <c r="C144" s="2">
        <v>3352.0390000000002</v>
      </c>
      <c r="D144" s="2">
        <v>2486.3389999999999</v>
      </c>
      <c r="E144" s="2">
        <v>10290</v>
      </c>
    </row>
    <row r="145" spans="1:5" ht="15" customHeight="1" x14ac:dyDescent="0.25">
      <c r="A145" s="1" t="s">
        <v>277</v>
      </c>
      <c r="B145" s="1" t="s">
        <v>278</v>
      </c>
      <c r="C145" s="2">
        <v>1170.9000000000001</v>
      </c>
      <c r="D145" s="2">
        <v>149.30000000000001</v>
      </c>
      <c r="E145" s="2">
        <v>1789</v>
      </c>
    </row>
    <row r="146" spans="1:5" ht="15" customHeight="1" x14ac:dyDescent="0.25">
      <c r="A146" s="1" t="s">
        <v>279</v>
      </c>
      <c r="B146" s="1" t="s">
        <v>280</v>
      </c>
      <c r="C146" s="2">
        <v>1927.1499054544499</v>
      </c>
      <c r="D146" s="2">
        <v>2583.4592202803001</v>
      </c>
      <c r="E146" s="5">
        <v>0</v>
      </c>
    </row>
    <row r="147" spans="1:5" ht="15" customHeight="1" x14ac:dyDescent="0.25">
      <c r="A147" s="1" t="s">
        <v>281</v>
      </c>
      <c r="B147" s="1" t="s">
        <v>282</v>
      </c>
      <c r="C147" s="2">
        <v>379.50700000000001</v>
      </c>
      <c r="D147" s="2">
        <v>14.548999999999999</v>
      </c>
      <c r="E147" s="5">
        <v>0</v>
      </c>
    </row>
    <row r="148" spans="1:5" ht="15" customHeight="1" x14ac:dyDescent="0.25">
      <c r="A148" s="1" t="s">
        <v>283</v>
      </c>
      <c r="B148" s="1" t="s">
        <v>284</v>
      </c>
      <c r="C148" s="2">
        <v>77.808999999999997</v>
      </c>
      <c r="D148" s="2">
        <v>9.984</v>
      </c>
      <c r="E148" s="5">
        <v>0</v>
      </c>
    </row>
    <row r="149" spans="1:5" ht="15" customHeight="1" x14ac:dyDescent="0.25">
      <c r="A149" s="1" t="s">
        <v>285</v>
      </c>
      <c r="B149" s="1" t="s">
        <v>286</v>
      </c>
      <c r="C149" s="2">
        <v>768.85</v>
      </c>
      <c r="D149" s="2">
        <v>3148.6379999999999</v>
      </c>
      <c r="E149" s="2">
        <v>950</v>
      </c>
    </row>
    <row r="150" spans="1:5" ht="15" customHeight="1" x14ac:dyDescent="0.25">
      <c r="A150" s="1" t="s">
        <v>287</v>
      </c>
      <c r="B150" s="1" t="s">
        <v>288</v>
      </c>
      <c r="C150" s="2">
        <v>827.803</v>
      </c>
      <c r="D150" s="2">
        <v>740.572</v>
      </c>
      <c r="E150" s="2">
        <v>5000</v>
      </c>
    </row>
    <row r="151" spans="1:5" ht="15" customHeight="1" x14ac:dyDescent="0.25">
      <c r="A151" s="1" t="s">
        <v>289</v>
      </c>
      <c r="B151" s="1" t="s">
        <v>290</v>
      </c>
      <c r="C151" s="2">
        <v>212.98</v>
      </c>
      <c r="D151" s="5">
        <v>0</v>
      </c>
      <c r="E151" s="2">
        <v>132</v>
      </c>
    </row>
    <row r="152" spans="1:5" ht="15" customHeight="1" x14ac:dyDescent="0.25">
      <c r="A152" s="1" t="s">
        <v>291</v>
      </c>
      <c r="B152" s="1" t="s">
        <v>292</v>
      </c>
      <c r="C152" s="2">
        <v>23409</v>
      </c>
      <c r="D152" s="2">
        <v>34772</v>
      </c>
      <c r="E152" s="2">
        <v>25000</v>
      </c>
    </row>
    <row r="153" spans="1:5" ht="15" customHeight="1" x14ac:dyDescent="0.25">
      <c r="A153" s="1" t="s">
        <v>293</v>
      </c>
      <c r="B153" s="1" t="s">
        <v>294</v>
      </c>
      <c r="C153" s="2">
        <v>37399.940657421103</v>
      </c>
      <c r="D153" s="5">
        <v>0</v>
      </c>
      <c r="E153" s="2">
        <v>13479</v>
      </c>
    </row>
    <row r="154" spans="1:5" ht="15" customHeight="1" x14ac:dyDescent="0.25">
      <c r="A154" s="1" t="s">
        <v>295</v>
      </c>
      <c r="B154" s="1" t="s">
        <v>296</v>
      </c>
      <c r="C154" s="2">
        <v>1018.149</v>
      </c>
      <c r="D154" s="2">
        <v>1818.2239999999999</v>
      </c>
      <c r="E154" s="2">
        <v>250</v>
      </c>
    </row>
    <row r="155" spans="1:5" ht="15" customHeight="1" x14ac:dyDescent="0.25">
      <c r="A155" s="1" t="s">
        <v>297</v>
      </c>
      <c r="B155" s="1" t="s">
        <v>298</v>
      </c>
      <c r="C155" s="2">
        <v>17801.7</v>
      </c>
      <c r="D155" s="2">
        <v>15414</v>
      </c>
      <c r="E155" s="2">
        <v>90000</v>
      </c>
    </row>
    <row r="156" spans="1:5" ht="15" customHeight="1" x14ac:dyDescent="0.25">
      <c r="A156" s="1" t="s">
        <v>299</v>
      </c>
      <c r="B156" s="1" t="s">
        <v>300</v>
      </c>
      <c r="C156" s="2">
        <v>1767.3</v>
      </c>
      <c r="D156" s="2">
        <v>152.1</v>
      </c>
      <c r="E156" s="2">
        <v>1866</v>
      </c>
    </row>
    <row r="157" spans="1:5" ht="15" customHeight="1" x14ac:dyDescent="0.25">
      <c r="A157" s="1" t="s">
        <v>301</v>
      </c>
      <c r="B157" s="1" t="s">
        <v>302</v>
      </c>
      <c r="C157" s="2">
        <v>8978.3819999999996</v>
      </c>
      <c r="D157" s="5">
        <v>0</v>
      </c>
      <c r="E157" s="2">
        <v>9000</v>
      </c>
    </row>
    <row r="158" spans="1:5" ht="15" customHeight="1" x14ac:dyDescent="0.25">
      <c r="A158" s="1" t="s">
        <v>303</v>
      </c>
      <c r="B158" s="1" t="s">
        <v>304</v>
      </c>
      <c r="C158" s="2">
        <v>376.1</v>
      </c>
      <c r="D158" s="5">
        <v>0</v>
      </c>
      <c r="E158" s="5">
        <v>0</v>
      </c>
    </row>
    <row r="159" spans="1:5" ht="15" customHeight="1" x14ac:dyDescent="0.25">
      <c r="A159" s="1" t="s">
        <v>305</v>
      </c>
      <c r="B159" s="1" t="s">
        <v>306</v>
      </c>
      <c r="C159" s="2">
        <v>1647.412</v>
      </c>
      <c r="D159" s="2">
        <v>2492.3629999999998</v>
      </c>
      <c r="E159" s="2">
        <v>1104</v>
      </c>
    </row>
    <row r="160" spans="1:5" ht="15" customHeight="1" x14ac:dyDescent="0.25">
      <c r="A160" s="1" t="s">
        <v>307</v>
      </c>
      <c r="B160" s="1" t="s">
        <v>308</v>
      </c>
      <c r="C160" s="2">
        <v>2029.98933267403</v>
      </c>
      <c r="D160" s="2">
        <v>1005.89761196943</v>
      </c>
      <c r="E160" s="2">
        <v>3116</v>
      </c>
    </row>
    <row r="161" spans="1:5" ht="15" customHeight="1" x14ac:dyDescent="0.25">
      <c r="A161" s="1" t="s">
        <v>309</v>
      </c>
      <c r="B161" s="1" t="s">
        <v>310</v>
      </c>
      <c r="C161" s="2">
        <v>7946.3910802344799</v>
      </c>
      <c r="D161" s="2">
        <v>2172.2669977155401</v>
      </c>
      <c r="E161" s="2">
        <v>10600</v>
      </c>
    </row>
    <row r="162" spans="1:5" ht="15" customHeight="1" x14ac:dyDescent="0.25">
      <c r="A162" s="1" t="s">
        <v>311</v>
      </c>
      <c r="B162" s="1" t="s">
        <v>312</v>
      </c>
      <c r="C162" s="2">
        <v>1342.40291230153</v>
      </c>
      <c r="D162" s="2">
        <v>2554.0976231643799</v>
      </c>
      <c r="E162" s="2">
        <v>1099</v>
      </c>
    </row>
    <row r="163" spans="1:5" ht="15" customHeight="1" x14ac:dyDescent="0.25">
      <c r="A163" s="1" t="s">
        <v>313</v>
      </c>
      <c r="B163" s="1" t="s">
        <v>314</v>
      </c>
      <c r="C163" s="2">
        <v>89387.036805921496</v>
      </c>
      <c r="D163" s="2">
        <v>240041.988453611</v>
      </c>
      <c r="E163" s="2">
        <v>61230</v>
      </c>
    </row>
    <row r="164" spans="1:5" ht="15" customHeight="1" x14ac:dyDescent="0.25">
      <c r="A164" s="1" t="s">
        <v>315</v>
      </c>
      <c r="B164" s="1" t="s">
        <v>316</v>
      </c>
      <c r="C164" s="2">
        <v>1830.33242601655</v>
      </c>
      <c r="D164" s="2">
        <v>5531.9981689523102</v>
      </c>
      <c r="E164" s="2">
        <v>5468</v>
      </c>
    </row>
    <row r="165" spans="1:5" ht="15" customHeight="1" x14ac:dyDescent="0.25">
      <c r="A165" s="1" t="s">
        <v>317</v>
      </c>
      <c r="B165" s="1" t="s">
        <v>318</v>
      </c>
      <c r="C165" s="2">
        <v>7881.3442702361099</v>
      </c>
      <c r="D165" s="2">
        <v>71615.805653746502</v>
      </c>
      <c r="E165" s="2">
        <v>4028</v>
      </c>
    </row>
    <row r="166" spans="1:5" ht="15" customHeight="1" x14ac:dyDescent="0.25">
      <c r="A166" s="1" t="s">
        <v>319</v>
      </c>
      <c r="B166" s="1" t="s">
        <v>320</v>
      </c>
      <c r="C166" s="2">
        <v>2685</v>
      </c>
      <c r="D166" s="2">
        <v>129.6</v>
      </c>
      <c r="E166" s="2">
        <v>2799</v>
      </c>
    </row>
    <row r="167" spans="1:5" ht="15" customHeight="1" x14ac:dyDescent="0.25">
      <c r="A167" s="1" t="s">
        <v>321</v>
      </c>
      <c r="B167" s="1" t="s">
        <v>322</v>
      </c>
      <c r="C167" s="2">
        <v>1097</v>
      </c>
      <c r="D167" s="5">
        <v>0</v>
      </c>
      <c r="E167" s="2">
        <v>3245</v>
      </c>
    </row>
    <row r="168" spans="1:5" ht="15" customHeight="1" x14ac:dyDescent="0.25">
      <c r="A168" s="1" t="s">
        <v>323</v>
      </c>
      <c r="B168" s="1" t="s">
        <v>324</v>
      </c>
      <c r="C168" s="2">
        <v>10743.5</v>
      </c>
      <c r="D168" s="2">
        <v>9767.4</v>
      </c>
      <c r="E168" s="2">
        <v>14000</v>
      </c>
    </row>
    <row r="169" spans="1:5" ht="15" customHeight="1" x14ac:dyDescent="0.25">
      <c r="A169" s="1" t="s">
        <v>325</v>
      </c>
      <c r="B169" s="1" t="s">
        <v>326</v>
      </c>
      <c r="C169" s="2">
        <v>14404.404</v>
      </c>
      <c r="D169" s="2">
        <v>618.21799999999996</v>
      </c>
      <c r="E169" s="5">
        <v>0</v>
      </c>
    </row>
    <row r="170" spans="1:5" ht="15" customHeight="1" x14ac:dyDescent="0.25">
      <c r="A170" s="1" t="s">
        <v>327</v>
      </c>
      <c r="B170" s="1" t="s">
        <v>328</v>
      </c>
      <c r="C170" s="2">
        <v>7.2676540000000003</v>
      </c>
      <c r="D170" s="2">
        <v>2.6451470000000001</v>
      </c>
      <c r="E170" s="5">
        <v>0</v>
      </c>
    </row>
    <row r="171" spans="1:5" ht="15" customHeight="1" x14ac:dyDescent="0.25">
      <c r="A171" s="1" t="s">
        <v>329</v>
      </c>
      <c r="B171" s="1" t="s">
        <v>330</v>
      </c>
      <c r="C171" s="2">
        <v>7494</v>
      </c>
      <c r="D171" s="2">
        <v>2859.2</v>
      </c>
      <c r="E171" s="2">
        <v>3916</v>
      </c>
    </row>
    <row r="172" spans="1:5" ht="15" customHeight="1" x14ac:dyDescent="0.25">
      <c r="A172" s="1" t="s">
        <v>331</v>
      </c>
      <c r="B172" s="1" t="s">
        <v>332</v>
      </c>
      <c r="C172" s="2">
        <v>9489.5339999999997</v>
      </c>
      <c r="D172" s="2">
        <v>6378.5519999999997</v>
      </c>
      <c r="E172" s="2">
        <v>43000</v>
      </c>
    </row>
    <row r="173" spans="1:5" ht="15" customHeight="1" x14ac:dyDescent="0.25">
      <c r="A173" s="1" t="s">
        <v>333</v>
      </c>
      <c r="B173" s="1" t="s">
        <v>334</v>
      </c>
      <c r="C173" s="2">
        <v>8924.8354303056203</v>
      </c>
      <c r="D173" s="2">
        <v>29123.369192218699</v>
      </c>
      <c r="E173" s="2">
        <v>8892</v>
      </c>
    </row>
    <row r="174" spans="1:5" ht="15" customHeight="1" x14ac:dyDescent="0.25">
      <c r="A174" s="1" t="s">
        <v>335</v>
      </c>
      <c r="B174" s="1" t="s">
        <v>336</v>
      </c>
      <c r="C174" s="2">
        <v>1323.307</v>
      </c>
      <c r="D174" s="2">
        <v>284.791</v>
      </c>
      <c r="E174" s="5">
        <v>0</v>
      </c>
    </row>
    <row r="175" spans="1:5" ht="15" customHeight="1" x14ac:dyDescent="0.25">
      <c r="A175" s="1" t="s">
        <v>337</v>
      </c>
      <c r="B175" s="1" t="s">
        <v>338</v>
      </c>
      <c r="C175" s="2">
        <v>1822.8</v>
      </c>
      <c r="D175" s="2">
        <v>157.5</v>
      </c>
      <c r="E175" s="2">
        <v>86</v>
      </c>
    </row>
    <row r="176" spans="1:5" ht="15" customHeight="1" x14ac:dyDescent="0.25">
      <c r="A176" s="1" t="s">
        <v>339</v>
      </c>
      <c r="B176" s="1" t="s">
        <v>340</v>
      </c>
      <c r="C176" s="2">
        <v>3131</v>
      </c>
      <c r="D176" s="2">
        <v>129</v>
      </c>
      <c r="E176" s="2">
        <v>1674</v>
      </c>
    </row>
    <row r="177" spans="1:5" ht="15" customHeight="1" x14ac:dyDescent="0.25">
      <c r="A177" s="1" t="s">
        <v>341</v>
      </c>
      <c r="B177" s="1" t="s">
        <v>342</v>
      </c>
      <c r="C177" s="2">
        <v>16848</v>
      </c>
      <c r="D177" s="5">
        <v>0</v>
      </c>
      <c r="E177" s="2">
        <v>11500</v>
      </c>
    </row>
    <row r="178" spans="1:5" ht="15" customHeight="1" x14ac:dyDescent="0.25">
      <c r="A178" s="1" t="s">
        <v>343</v>
      </c>
      <c r="B178" s="1" t="s">
        <v>344</v>
      </c>
      <c r="C178" s="2">
        <v>4070.1</v>
      </c>
      <c r="D178" s="2">
        <v>1965.5</v>
      </c>
      <c r="E178" s="2">
        <v>15981</v>
      </c>
    </row>
    <row r="179" spans="1:5" ht="15" customHeight="1" x14ac:dyDescent="0.25">
      <c r="A179" s="1" t="s">
        <v>345</v>
      </c>
      <c r="B179" s="1" t="s">
        <v>346</v>
      </c>
      <c r="C179" s="2">
        <v>546.46400000000006</v>
      </c>
      <c r="D179" s="2">
        <v>264.46199999999999</v>
      </c>
      <c r="E179" s="5">
        <v>0</v>
      </c>
    </row>
    <row r="180" spans="1:5" ht="15" customHeight="1" x14ac:dyDescent="0.25">
      <c r="A180" s="1" t="s">
        <v>347</v>
      </c>
      <c r="B180" s="1" t="s">
        <v>348</v>
      </c>
      <c r="C180" s="2">
        <v>2151.5</v>
      </c>
      <c r="D180" s="2">
        <v>787.6</v>
      </c>
      <c r="E180" s="5">
        <v>0</v>
      </c>
    </row>
    <row r="181" spans="1:5" ht="15" customHeight="1" x14ac:dyDescent="0.25">
      <c r="A181" s="1" t="s">
        <v>349</v>
      </c>
      <c r="B181" s="1" t="s">
        <v>350</v>
      </c>
      <c r="C181" s="2">
        <v>598.50199999999995</v>
      </c>
      <c r="D181" s="2">
        <v>110.46899999999999</v>
      </c>
      <c r="E181" s="5">
        <v>0</v>
      </c>
    </row>
    <row r="182" spans="1:5" ht="15" customHeight="1" x14ac:dyDescent="0.25">
      <c r="A182" s="1" t="s">
        <v>351</v>
      </c>
      <c r="B182" s="1" t="s">
        <v>352</v>
      </c>
      <c r="C182" s="2">
        <v>1246.55199455926</v>
      </c>
      <c r="D182" s="2">
        <v>181.992951938982</v>
      </c>
      <c r="E182" s="2">
        <v>1184</v>
      </c>
    </row>
    <row r="183" spans="1:5" ht="15" customHeight="1" x14ac:dyDescent="0.25">
      <c r="A183" s="1" t="s">
        <v>353</v>
      </c>
      <c r="B183" s="1" t="s">
        <v>354</v>
      </c>
      <c r="C183" s="2">
        <v>23125</v>
      </c>
      <c r="D183" s="2">
        <v>63282</v>
      </c>
      <c r="E183" s="2">
        <v>30553</v>
      </c>
    </row>
    <row r="184" spans="1:5" ht="15" customHeight="1" x14ac:dyDescent="0.25">
      <c r="A184" s="1" t="s">
        <v>355</v>
      </c>
      <c r="B184" s="1" t="s">
        <v>356</v>
      </c>
      <c r="C184" s="2">
        <v>5041</v>
      </c>
      <c r="D184" s="2">
        <v>7028</v>
      </c>
      <c r="E184" s="2">
        <v>2745</v>
      </c>
    </row>
    <row r="185" spans="1:5" ht="15" customHeight="1" x14ac:dyDescent="0.25">
      <c r="A185" s="1" t="s">
        <v>357</v>
      </c>
      <c r="B185" s="1" t="s">
        <v>358</v>
      </c>
      <c r="C185" s="2">
        <v>4125</v>
      </c>
      <c r="D185" s="5">
        <v>0</v>
      </c>
      <c r="E185" s="2">
        <v>8200</v>
      </c>
    </row>
    <row r="186" spans="1:5" ht="15" customHeight="1" x14ac:dyDescent="0.25">
      <c r="A186" s="1" t="s">
        <v>359</v>
      </c>
      <c r="B186" s="1" t="s">
        <v>360</v>
      </c>
      <c r="C186" s="2">
        <v>2990.1</v>
      </c>
      <c r="D186" s="2">
        <v>3710.7</v>
      </c>
      <c r="E186" s="2">
        <v>2500</v>
      </c>
    </row>
    <row r="187" spans="1:5" ht="15" customHeight="1" x14ac:dyDescent="0.25">
      <c r="A187" s="1" t="s">
        <v>361</v>
      </c>
      <c r="B187" s="1" t="s">
        <v>362</v>
      </c>
      <c r="C187" s="2">
        <v>177.39799175158799</v>
      </c>
      <c r="D187" s="2">
        <v>560.61615484471099</v>
      </c>
      <c r="E187" s="5">
        <v>0</v>
      </c>
    </row>
    <row r="188" spans="1:5" ht="15" customHeight="1" x14ac:dyDescent="0.25">
      <c r="A188" s="1" t="s">
        <v>363</v>
      </c>
      <c r="B188" s="1" t="s">
        <v>364</v>
      </c>
      <c r="C188" s="2">
        <v>1432.098</v>
      </c>
      <c r="D188" s="2">
        <v>2029.854</v>
      </c>
      <c r="E188" s="5">
        <v>0</v>
      </c>
    </row>
    <row r="189" spans="1:5" ht="15" customHeight="1" x14ac:dyDescent="0.25">
      <c r="A189" s="1" t="s">
        <v>365</v>
      </c>
      <c r="B189" s="1" t="s">
        <v>366</v>
      </c>
      <c r="C189" s="2">
        <v>6141.1</v>
      </c>
      <c r="D189" s="2">
        <v>551.4</v>
      </c>
      <c r="E189" s="2">
        <v>35000</v>
      </c>
    </row>
    <row r="190" spans="1:5" ht="15" customHeight="1" x14ac:dyDescent="0.25">
      <c r="A190" s="1" t="s">
        <v>367</v>
      </c>
      <c r="B190" s="1" t="s">
        <v>368</v>
      </c>
      <c r="C190" s="2">
        <v>1330.1</v>
      </c>
      <c r="D190" s="2">
        <v>26.5</v>
      </c>
      <c r="E190" s="2">
        <v>1246</v>
      </c>
    </row>
    <row r="191" spans="1:5" ht="15" customHeight="1" x14ac:dyDescent="0.25">
      <c r="A191" s="1" t="s">
        <v>369</v>
      </c>
      <c r="B191" s="1" t="s">
        <v>370</v>
      </c>
      <c r="C191" s="2">
        <v>28528.7</v>
      </c>
      <c r="D191" s="2">
        <v>6997.5</v>
      </c>
      <c r="E191" s="2">
        <v>15174</v>
      </c>
    </row>
    <row r="192" spans="1:5" ht="15" customHeight="1" x14ac:dyDescent="0.25">
      <c r="A192" s="1" t="s">
        <v>371</v>
      </c>
      <c r="B192" s="1" t="s">
        <v>372</v>
      </c>
      <c r="C192" s="2">
        <v>12.8642519733162</v>
      </c>
      <c r="D192" s="2">
        <v>664.44792742185996</v>
      </c>
      <c r="E192" s="5">
        <v>0</v>
      </c>
    </row>
    <row r="193" spans="1:5" ht="15" customHeight="1" x14ac:dyDescent="0.25">
      <c r="A193" s="1" t="s">
        <v>373</v>
      </c>
      <c r="B193" s="1" t="s">
        <v>374</v>
      </c>
      <c r="C193" s="2">
        <v>615.4</v>
      </c>
      <c r="D193" s="2">
        <v>1028.4000000000001</v>
      </c>
      <c r="E193" s="2">
        <v>56</v>
      </c>
    </row>
    <row r="194" spans="1:5" ht="15" customHeight="1" x14ac:dyDescent="0.25">
      <c r="A194" s="1" t="s">
        <v>375</v>
      </c>
      <c r="B194" s="1" t="s">
        <v>376</v>
      </c>
      <c r="C194" s="2">
        <v>163.69999999999999</v>
      </c>
      <c r="D194" s="5">
        <v>0</v>
      </c>
      <c r="E194" s="2">
        <v>8</v>
      </c>
    </row>
    <row r="195" spans="1:5" ht="15" customHeight="1" x14ac:dyDescent="0.25">
      <c r="A195" s="1" t="s">
        <v>377</v>
      </c>
      <c r="B195" s="1" t="s">
        <v>378</v>
      </c>
      <c r="C195" s="2">
        <v>45576</v>
      </c>
      <c r="D195" s="2">
        <v>17288</v>
      </c>
      <c r="E195" s="2">
        <v>118000</v>
      </c>
    </row>
    <row r="196" spans="1:5" ht="15" customHeight="1" x14ac:dyDescent="0.25">
      <c r="A196" s="1" t="s">
        <v>379</v>
      </c>
      <c r="B196" s="1" t="s">
        <v>380</v>
      </c>
      <c r="C196" s="2">
        <v>1533.8</v>
      </c>
      <c r="D196" s="2">
        <v>2121.1</v>
      </c>
      <c r="E196" s="5">
        <v>0</v>
      </c>
    </row>
    <row r="197" spans="1:5" ht="15" customHeight="1" x14ac:dyDescent="0.25">
      <c r="A197" s="1" t="s">
        <v>381</v>
      </c>
      <c r="B197" s="1" t="s">
        <v>382</v>
      </c>
      <c r="C197" s="2">
        <v>1360.299</v>
      </c>
      <c r="D197" s="2">
        <v>3178.9940000000001</v>
      </c>
      <c r="E197" s="2">
        <v>1572</v>
      </c>
    </row>
    <row r="198" spans="1:5" ht="15" customHeight="1" x14ac:dyDescent="0.25">
      <c r="A198" s="1" t="s">
        <v>383</v>
      </c>
      <c r="B198" s="1" t="s">
        <v>384</v>
      </c>
      <c r="C198" s="2">
        <v>58417</v>
      </c>
      <c r="D198" s="5">
        <v>0</v>
      </c>
      <c r="E198" s="2">
        <v>35236</v>
      </c>
    </row>
    <row r="199" spans="1:5" ht="15" customHeight="1" x14ac:dyDescent="0.25">
      <c r="A199" s="1" t="s">
        <v>385</v>
      </c>
      <c r="B199" s="1" t="s">
        <v>386</v>
      </c>
      <c r="C199" s="2">
        <v>5832</v>
      </c>
      <c r="D199" s="2">
        <v>18384</v>
      </c>
      <c r="E199" s="2">
        <v>6444</v>
      </c>
    </row>
    <row r="200" spans="1:5" ht="15" customHeight="1" x14ac:dyDescent="0.25">
      <c r="A200" s="1" t="s">
        <v>387</v>
      </c>
      <c r="B200" s="1" t="s">
        <v>388</v>
      </c>
      <c r="C200" s="2">
        <v>1202.3822404115899</v>
      </c>
      <c r="D200" s="2">
        <v>300.14496070991402</v>
      </c>
      <c r="E200" s="2">
        <v>3600</v>
      </c>
    </row>
    <row r="201" spans="1:5" ht="15" customHeight="1" x14ac:dyDescent="0.25">
      <c r="A201" s="1" t="s">
        <v>389</v>
      </c>
      <c r="B201" s="1" t="s">
        <v>390</v>
      </c>
      <c r="C201" s="2">
        <v>20097.272805586301</v>
      </c>
      <c r="D201" s="2">
        <v>128643.623004215</v>
      </c>
      <c r="E201" s="2">
        <v>4693</v>
      </c>
    </row>
    <row r="202" spans="1:5" ht="15" customHeight="1" x14ac:dyDescent="0.25">
      <c r="A202" s="1" t="s">
        <v>391</v>
      </c>
      <c r="B202" s="1" t="s">
        <v>392</v>
      </c>
      <c r="C202" s="2">
        <v>69077</v>
      </c>
      <c r="D202" s="2">
        <v>29880</v>
      </c>
      <c r="E202" s="2">
        <v>202000</v>
      </c>
    </row>
    <row r="203" spans="1:5" ht="15" customHeight="1" x14ac:dyDescent="0.25">
      <c r="A203" s="1" t="s">
        <v>393</v>
      </c>
      <c r="B203" s="1" t="s">
        <v>394</v>
      </c>
      <c r="C203" s="2">
        <v>11222</v>
      </c>
      <c r="D203" s="2">
        <v>2022</v>
      </c>
      <c r="E203" s="2">
        <v>45500</v>
      </c>
    </row>
    <row r="204" spans="1:5" ht="15" customHeight="1" x14ac:dyDescent="0.25">
      <c r="A204" s="1" t="s">
        <v>395</v>
      </c>
      <c r="B204" s="1" t="s">
        <v>396</v>
      </c>
      <c r="C204" s="2">
        <v>2446.37763647985</v>
      </c>
      <c r="D204" s="2">
        <v>266.027595926412</v>
      </c>
      <c r="E204" s="2">
        <v>5114</v>
      </c>
    </row>
    <row r="205" spans="1:5" ht="15" customHeight="1" x14ac:dyDescent="0.25">
      <c r="A205" s="1" t="s">
        <v>397</v>
      </c>
      <c r="B205" s="1" t="s">
        <v>398</v>
      </c>
      <c r="C205" s="2">
        <v>5883</v>
      </c>
      <c r="D205" s="2">
        <v>12538</v>
      </c>
      <c r="E205" s="2">
        <v>3828</v>
      </c>
    </row>
    <row r="206" spans="1:5" ht="15" customHeight="1" x14ac:dyDescent="0.25">
      <c r="A206" s="1" t="s">
        <v>399</v>
      </c>
      <c r="B206" s="1" t="s">
        <v>400</v>
      </c>
      <c r="C206" s="2">
        <v>1096.5830000000001</v>
      </c>
      <c r="D206" s="2">
        <v>15.347</v>
      </c>
      <c r="E206" s="2">
        <v>985</v>
      </c>
    </row>
  </sheetData>
  <conditionalFormatting sqref="B7:B206">
    <cfRule type="expression" dxfId="1" priority="3">
      <formula>(C7:C206&gt;=500)+(D7:D206&gt;=1000)+(E7:E206&gt;=500)&gt;=2</formula>
    </cfRule>
    <cfRule type="expression" dxfId="0" priority="4">
      <formula>(C7:C206&lt;500)+(D7:D206&lt;1000)+(E7:E206&lt;500)&gt;=2</formula>
    </cfRule>
  </conditionalFormatting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Saad Al Denaini</cp:lastModifiedBy>
  <dcterms:modified xsi:type="dcterms:W3CDTF">2026-09-09T11:19:17Z</dcterms:modified>
  <cp:category/>
</cp:coreProperties>
</file>